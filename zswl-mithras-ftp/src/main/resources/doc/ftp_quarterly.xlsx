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1020" activeTab="1"/>
  </bookViews>
  <sheets>
    <sheet name="上季度FTP定价指引" sheetId="2" r:id="rId1"/>
    <sheet name="季度项目最低收益率定价指引" sheetId="1" r:id="rId2"/>
    <sheet name="包含公示的单元格已用有色标注,无需进行编辑" sheetId="3" r:id="rId3"/>
  </sheets>
  <calcPr calcId="144525"/>
</workbook>
</file>

<file path=xl/sharedStrings.xml><?xml version="1.0" encoding="utf-8"?>
<sst xmlns="http://schemas.openxmlformats.org/spreadsheetml/2006/main" count="92">
  <si>
    <t>孟月</t>
  </si>
  <si>
    <t>国有</t>
  </si>
  <si>
    <t>其他</t>
  </si>
  <si>
    <t>1年期（含）以内</t>
  </si>
  <si>
    <t>1-3年期（含）</t>
  </si>
  <si>
    <t>3年以上</t>
  </si>
  <si>
    <t>鼓励介入类</t>
  </si>
  <si>
    <t>{R2C1}</t>
  </si>
  <si>
    <t>{R2C2}</t>
  </si>
  <si>
    <t>{R2C3}</t>
  </si>
  <si>
    <t>{R2C4}</t>
  </si>
  <si>
    <t>{R2C5}</t>
  </si>
  <si>
    <t>{R2C6}</t>
  </si>
  <si>
    <t>适度支持类</t>
  </si>
  <si>
    <t>{R3C1}</t>
  </si>
  <si>
    <t>{R3C2}</t>
  </si>
  <si>
    <t>{R3C3}</t>
  </si>
  <si>
    <t>{R3C4}</t>
  </si>
  <si>
    <t>{R3C5}</t>
  </si>
  <si>
    <t>{R3C6}</t>
  </si>
  <si>
    <t>谨慎支持类</t>
  </si>
  <si>
    <t>{R4C1}</t>
  </si>
  <si>
    <t>{R4C2}</t>
  </si>
  <si>
    <t>{R4C3}</t>
  </si>
  <si>
    <t>{R4C4}</t>
  </si>
  <si>
    <t>{R4C5}</t>
  </si>
  <si>
    <t>{R4C6}</t>
  </si>
  <si>
    <t>仲月</t>
  </si>
  <si>
    <t>{R7C1}</t>
  </si>
  <si>
    <t>{R7C2}</t>
  </si>
  <si>
    <t>{R7C3}</t>
  </si>
  <si>
    <t>{R7C4}</t>
  </si>
  <si>
    <t>{R7C5}</t>
  </si>
  <si>
    <t>{R7C6}</t>
  </si>
  <si>
    <t>{R8C1}</t>
  </si>
  <si>
    <t>{R8C2}</t>
  </si>
  <si>
    <t>{R8C3}</t>
  </si>
  <si>
    <t>{R8C4}</t>
  </si>
  <si>
    <t>{R8C5}</t>
  </si>
  <si>
    <t>{R8C6}</t>
  </si>
  <si>
    <t>{R9C1}</t>
  </si>
  <si>
    <t>{R9C2}</t>
  </si>
  <si>
    <t>{R9C3}</t>
  </si>
  <si>
    <t>{R9C4}</t>
  </si>
  <si>
    <t>{R9C5}</t>
  </si>
  <si>
    <t>{R9C6}</t>
  </si>
  <si>
    <t>季月</t>
  </si>
  <si>
    <t>{R12C1}</t>
  </si>
  <si>
    <t>{R12C2}</t>
  </si>
  <si>
    <t>{R12C3}</t>
  </si>
  <si>
    <t>{R12C4}</t>
  </si>
  <si>
    <t>{R12C5}</t>
  </si>
  <si>
    <t>{R12C6}</t>
  </si>
  <si>
    <t>{R13C1}</t>
  </si>
  <si>
    <t>{R13C2}</t>
  </si>
  <si>
    <t>{R13C3}</t>
  </si>
  <si>
    <t>{R13C4}</t>
  </si>
  <si>
    <t>{R13C5}</t>
  </si>
  <si>
    <t>{R13C6}</t>
  </si>
  <si>
    <t>{R14C1}</t>
  </si>
  <si>
    <t>{R14C2}</t>
  </si>
  <si>
    <t>{R14C3}</t>
  </si>
  <si>
    <t>{R14C4}</t>
  </si>
  <si>
    <t>{R14C5}</t>
  </si>
  <si>
    <t>{R14C6}</t>
  </si>
  <si>
    <t>单位：%</t>
  </si>
  <si>
    <t>期限</t>
  </si>
  <si>
    <t>均值</t>
  </si>
  <si>
    <t>客户主体计价</t>
  </si>
  <si>
    <t>国有企业</t>
  </si>
  <si>
    <t>民营上市企业</t>
  </si>
  <si>
    <t>民营非上市企业</t>
  </si>
  <si>
    <t>其他类</t>
  </si>
  <si>
    <t>1年内（含）</t>
  </si>
  <si>
    <t>{R2C13}</t>
  </si>
  <si>
    <t>{R2C14}</t>
  </si>
  <si>
    <t>{R2C15}</t>
  </si>
  <si>
    <t>{R2C16}</t>
  </si>
  <si>
    <t>1-3年（含）</t>
  </si>
  <si>
    <t>{R3C13}</t>
  </si>
  <si>
    <t>{R3C14}</t>
  </si>
  <si>
    <t>{R3C15}</t>
  </si>
  <si>
    <t>{R3C16}</t>
  </si>
  <si>
    <t>3-5年（含）</t>
  </si>
  <si>
    <t>{R4C13}</t>
  </si>
  <si>
    <t>{R4C14}</t>
  </si>
  <si>
    <t>{R4C15}</t>
  </si>
  <si>
    <t>{R4C16}</t>
  </si>
  <si>
    <t>项目分类</t>
  </si>
  <si>
    <t>企业性质</t>
  </si>
  <si>
    <t>一年期（含）以内</t>
  </si>
  <si>
    <t>其他小微企业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</si>
</sst>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0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000000"/>
      <name val="仿宋"/>
      <charset val="134"/>
    </font>
    <font>
      <sz val="11"/>
      <color rgb="FF00000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7" fillId="2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0" fillId="23" borderId="14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1" fillId="16" borderId="14" applyNumberFormat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9" fillId="9" borderId="9" applyNumberFormat="0" applyAlignment="0" applyProtection="0">
      <alignment vertical="center"/>
    </xf>
    <xf numFmtId="0" fontId="15" fillId="16" borderId="13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0" fillId="11" borderId="11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0" borderId="7" applyNumberFormat="0" applyFill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0" fillId="2" borderId="2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/>
    <xf numFmtId="0" fontId="3" fillId="0" borderId="2" xfId="0" applyFont="1" applyBorder="1" applyAlignment="1">
      <alignment horizontal="center"/>
    </xf>
    <xf numFmtId="176" fontId="3" fillId="0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16"/>
  <sheetViews>
    <sheetView zoomScale="109" zoomScaleNormal="109" workbookViewId="0">
      <selection activeCell="B13" sqref="B13:G15"/>
    </sheetView>
  </sheetViews>
  <sheetFormatPr defaultColWidth="9" defaultRowHeight="16.8" outlineLevelCol="6"/>
  <cols>
    <col min="1" max="1" width="11.1923076923077" customWidth="1"/>
    <col min="2" max="2" width="16.6634615384615" customWidth="1"/>
    <col min="3" max="3" width="13.4134615384615" customWidth="1"/>
    <col min="4" max="4" width="11.5769230769231" customWidth="1"/>
    <col min="5" max="5" width="15.2307692307692" customWidth="1"/>
    <col min="6" max="6" width="13.8076923076923" customWidth="1"/>
    <col min="7" max="7" width="12.3653846153846" customWidth="1"/>
  </cols>
  <sheetData>
    <row r="1" ht="15.5" customHeight="1" spans="1:7">
      <c r="A1" s="17" t="s">
        <v>0</v>
      </c>
      <c r="B1" s="18" t="s">
        <v>1</v>
      </c>
      <c r="C1" s="18"/>
      <c r="D1" s="18"/>
      <c r="E1" s="18" t="s">
        <v>2</v>
      </c>
      <c r="F1" s="18"/>
      <c r="G1" s="18"/>
    </row>
    <row r="2" spans="1:7">
      <c r="A2" s="17"/>
      <c r="B2" s="8" t="s">
        <v>3</v>
      </c>
      <c r="C2" s="8" t="s">
        <v>4</v>
      </c>
      <c r="D2" s="8" t="s">
        <v>5</v>
      </c>
      <c r="E2" s="8" t="s">
        <v>3</v>
      </c>
      <c r="F2" s="8" t="s">
        <v>4</v>
      </c>
      <c r="G2" s="8" t="s">
        <v>5</v>
      </c>
    </row>
    <row r="3" spans="1:7">
      <c r="A3" s="17" t="s">
        <v>6</v>
      </c>
      <c r="B3" s="19" t="s">
        <v>7</v>
      </c>
      <c r="C3" s="19" t="s">
        <v>8</v>
      </c>
      <c r="D3" s="19" t="s">
        <v>9</v>
      </c>
      <c r="E3" s="19" t="s">
        <v>10</v>
      </c>
      <c r="F3" s="19" t="s">
        <v>11</v>
      </c>
      <c r="G3" s="19" t="s">
        <v>12</v>
      </c>
    </row>
    <row r="4" spans="1:7">
      <c r="A4" s="17" t="s">
        <v>13</v>
      </c>
      <c r="B4" s="19" t="s">
        <v>14</v>
      </c>
      <c r="C4" s="19" t="s">
        <v>15</v>
      </c>
      <c r="D4" s="19" t="s">
        <v>16</v>
      </c>
      <c r="E4" s="19" t="s">
        <v>17</v>
      </c>
      <c r="F4" s="19" t="s">
        <v>18</v>
      </c>
      <c r="G4" s="19" t="s">
        <v>19</v>
      </c>
    </row>
    <row r="5" spans="1:7">
      <c r="A5" s="17" t="s">
        <v>20</v>
      </c>
      <c r="B5" s="19" t="s">
        <v>21</v>
      </c>
      <c r="C5" s="19" t="s">
        <v>22</v>
      </c>
      <c r="D5" s="19" t="s">
        <v>23</v>
      </c>
      <c r="E5" s="19" t="s">
        <v>24</v>
      </c>
      <c r="F5" s="19" t="s">
        <v>25</v>
      </c>
      <c r="G5" s="19" t="s">
        <v>26</v>
      </c>
    </row>
    <row r="6" ht="15.5" customHeight="1" spans="1:7">
      <c r="A6" s="17" t="s">
        <v>27</v>
      </c>
      <c r="B6" s="8" t="s">
        <v>1</v>
      </c>
      <c r="C6" s="8"/>
      <c r="D6" s="8"/>
      <c r="E6" s="8" t="s">
        <v>2</v>
      </c>
      <c r="F6" s="8"/>
      <c r="G6" s="8"/>
    </row>
    <row r="7" spans="1:7">
      <c r="A7" s="17"/>
      <c r="B7" s="8" t="s">
        <v>3</v>
      </c>
      <c r="C7" s="8" t="s">
        <v>4</v>
      </c>
      <c r="D7" s="8" t="s">
        <v>5</v>
      </c>
      <c r="E7" s="8" t="s">
        <v>3</v>
      </c>
      <c r="F7" s="8" t="s">
        <v>4</v>
      </c>
      <c r="G7" s="8" t="s">
        <v>5</v>
      </c>
    </row>
    <row r="8" spans="1:7">
      <c r="A8" s="17" t="s">
        <v>6</v>
      </c>
      <c r="B8" s="19" t="s">
        <v>28</v>
      </c>
      <c r="C8" s="19" t="s">
        <v>29</v>
      </c>
      <c r="D8" s="19" t="s">
        <v>30</v>
      </c>
      <c r="E8" s="19" t="s">
        <v>31</v>
      </c>
      <c r="F8" s="19" t="s">
        <v>32</v>
      </c>
      <c r="G8" s="19" t="s">
        <v>33</v>
      </c>
    </row>
    <row r="9" spans="1:7">
      <c r="A9" s="17" t="s">
        <v>13</v>
      </c>
      <c r="B9" s="19" t="s">
        <v>34</v>
      </c>
      <c r="C9" s="19" t="s">
        <v>35</v>
      </c>
      <c r="D9" s="19" t="s">
        <v>36</v>
      </c>
      <c r="E9" s="19" t="s">
        <v>37</v>
      </c>
      <c r="F9" s="19" t="s">
        <v>38</v>
      </c>
      <c r="G9" s="19" t="s">
        <v>39</v>
      </c>
    </row>
    <row r="10" spans="1:7">
      <c r="A10" s="17" t="s">
        <v>20</v>
      </c>
      <c r="B10" s="19" t="s">
        <v>40</v>
      </c>
      <c r="C10" s="19" t="s">
        <v>41</v>
      </c>
      <c r="D10" s="19" t="s">
        <v>42</v>
      </c>
      <c r="E10" s="19" t="s">
        <v>43</v>
      </c>
      <c r="F10" s="19" t="s">
        <v>44</v>
      </c>
      <c r="G10" s="19" t="s">
        <v>45</v>
      </c>
    </row>
    <row r="11" ht="15.5" customHeight="1" spans="1:7">
      <c r="A11" s="17" t="s">
        <v>46</v>
      </c>
      <c r="B11" s="8" t="s">
        <v>1</v>
      </c>
      <c r="C11" s="8"/>
      <c r="D11" s="8"/>
      <c r="E11" s="8" t="s">
        <v>2</v>
      </c>
      <c r="F11" s="8"/>
      <c r="G11" s="8"/>
    </row>
    <row r="12" spans="1:7">
      <c r="A12" s="17"/>
      <c r="B12" s="8" t="s">
        <v>3</v>
      </c>
      <c r="C12" s="8" t="s">
        <v>4</v>
      </c>
      <c r="D12" s="8" t="s">
        <v>5</v>
      </c>
      <c r="E12" s="8" t="s">
        <v>3</v>
      </c>
      <c r="F12" s="8" t="s">
        <v>4</v>
      </c>
      <c r="G12" s="8" t="s">
        <v>5</v>
      </c>
    </row>
    <row r="13" spans="1:7">
      <c r="A13" s="17" t="s">
        <v>6</v>
      </c>
      <c r="B13" s="19" t="s">
        <v>47</v>
      </c>
      <c r="C13" s="19" t="s">
        <v>48</v>
      </c>
      <c r="D13" s="19" t="s">
        <v>49</v>
      </c>
      <c r="E13" s="19" t="s">
        <v>50</v>
      </c>
      <c r="F13" s="19" t="s">
        <v>51</v>
      </c>
      <c r="G13" s="19" t="s">
        <v>52</v>
      </c>
    </row>
    <row r="14" spans="1:7">
      <c r="A14" s="17" t="s">
        <v>13</v>
      </c>
      <c r="B14" s="19" t="s">
        <v>53</v>
      </c>
      <c r="C14" s="19" t="s">
        <v>54</v>
      </c>
      <c r="D14" s="19" t="s">
        <v>55</v>
      </c>
      <c r="E14" s="19" t="s">
        <v>56</v>
      </c>
      <c r="F14" s="19" t="s">
        <v>57</v>
      </c>
      <c r="G14" s="19" t="s">
        <v>58</v>
      </c>
    </row>
    <row r="15" spans="1:7">
      <c r="A15" s="17" t="s">
        <v>20</v>
      </c>
      <c r="B15" s="19" t="s">
        <v>59</v>
      </c>
      <c r="C15" s="19" t="s">
        <v>60</v>
      </c>
      <c r="D15" s="19" t="s">
        <v>61</v>
      </c>
      <c r="E15" s="19" t="s">
        <v>62</v>
      </c>
      <c r="F15" s="19" t="s">
        <v>63</v>
      </c>
      <c r="G15" s="19" t="s">
        <v>64</v>
      </c>
    </row>
    <row r="16" spans="1:1">
      <c r="A16" s="6" t="s">
        <v>65</v>
      </c>
    </row>
  </sheetData>
  <mergeCells count="6">
    <mergeCell ref="B1:D1"/>
    <mergeCell ref="E1:G1"/>
    <mergeCell ref="B6:D6"/>
    <mergeCell ref="E6:G6"/>
    <mergeCell ref="B11:D11"/>
    <mergeCell ref="E11:G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Q16"/>
  <sheetViews>
    <sheetView tabSelected="1" zoomScale="69" zoomScaleNormal="69" workbookViewId="0">
      <selection activeCell="N3" sqref="N3:Q5"/>
    </sheetView>
  </sheetViews>
  <sheetFormatPr defaultColWidth="9" defaultRowHeight="16.8"/>
  <cols>
    <col min="1" max="1" width="14.5769230769231" customWidth="1"/>
    <col min="2" max="2" width="15.2307692307692" customWidth="1"/>
    <col min="3" max="3" width="13.1442307692308" customWidth="1"/>
    <col min="4" max="4" width="12.6346153846154" customWidth="1"/>
    <col min="5" max="5" width="14.4423076923077" customWidth="1"/>
    <col min="6" max="6" width="13.8076923076923" customWidth="1"/>
    <col min="7" max="7" width="12.1057692307692" customWidth="1"/>
    <col min="8" max="8" width="14.8461538461538" customWidth="1"/>
    <col min="9" max="9" width="14.3173076923077" customWidth="1"/>
    <col min="11" max="11" width="11.5769230769231" customWidth="1"/>
    <col min="12" max="12" width="11.3173076923077" customWidth="1"/>
    <col min="13" max="13" width="10.5480769230769" customWidth="1"/>
    <col min="14" max="14" width="10.0192307692308" customWidth="1"/>
    <col min="15" max="15" width="11.8461538461538" customWidth="1"/>
    <col min="16" max="16" width="13.0192307692308" customWidth="1"/>
  </cols>
  <sheetData>
    <row r="1" spans="1:17">
      <c r="A1" s="1" t="s">
        <v>66</v>
      </c>
      <c r="B1" s="2" t="s">
        <v>6</v>
      </c>
      <c r="C1" s="2"/>
      <c r="D1" s="2"/>
      <c r="E1" s="2" t="s">
        <v>13</v>
      </c>
      <c r="F1" s="2"/>
      <c r="G1" s="2"/>
      <c r="H1" s="2" t="s">
        <v>20</v>
      </c>
      <c r="I1" s="2"/>
      <c r="J1" s="2"/>
      <c r="K1" s="10" t="s">
        <v>67</v>
      </c>
      <c r="L1" s="11"/>
      <c r="M1" s="13"/>
      <c r="N1" s="14" t="s">
        <v>68</v>
      </c>
      <c r="O1" s="14"/>
      <c r="P1" s="14"/>
      <c r="Q1" s="14"/>
    </row>
    <row r="2" spans="1:17">
      <c r="A2" s="3"/>
      <c r="B2" s="2" t="s">
        <v>0</v>
      </c>
      <c r="C2" s="2" t="s">
        <v>27</v>
      </c>
      <c r="D2" s="2" t="s">
        <v>46</v>
      </c>
      <c r="E2" s="2" t="s">
        <v>0</v>
      </c>
      <c r="F2" s="2" t="s">
        <v>27</v>
      </c>
      <c r="G2" s="2" t="s">
        <v>46</v>
      </c>
      <c r="H2" s="2" t="s">
        <v>0</v>
      </c>
      <c r="I2" s="2" t="s">
        <v>27</v>
      </c>
      <c r="J2" s="2" t="s">
        <v>46</v>
      </c>
      <c r="K2" s="12" t="s">
        <v>6</v>
      </c>
      <c r="L2" s="12" t="s">
        <v>13</v>
      </c>
      <c r="M2" s="2" t="s">
        <v>20</v>
      </c>
      <c r="N2" s="15" t="s">
        <v>69</v>
      </c>
      <c r="O2" s="15" t="s">
        <v>70</v>
      </c>
      <c r="P2" s="15" t="s">
        <v>71</v>
      </c>
      <c r="Q2" s="15" t="s">
        <v>72</v>
      </c>
    </row>
    <row r="3" spans="1:17">
      <c r="A3" s="4" t="s">
        <v>73</v>
      </c>
      <c r="B3" s="5" t="e">
        <f>AVERAGE(上季度FTP定价指引!$B$3,上季度FTP定价指引!$E$3)</f>
        <v>#DIV/0!</v>
      </c>
      <c r="C3" s="5" t="e">
        <f>AVERAGE(上季度FTP定价指引!$B$8,上季度FTP定价指引!$E$8)</f>
        <v>#DIV/0!</v>
      </c>
      <c r="D3" s="5" t="e">
        <f>AVERAGE(上季度FTP定价指引!$B$13,上季度FTP定价指引!$E$13)</f>
        <v>#DIV/0!</v>
      </c>
      <c r="E3" s="5" t="e">
        <f>AVERAGE(上季度FTP定价指引!$B$4,上季度FTP定价指引!$E$4)</f>
        <v>#DIV/0!</v>
      </c>
      <c r="F3" s="5" t="e">
        <f>AVERAGE(上季度FTP定价指引!$B$9,上季度FTP定价指引!$E$9)</f>
        <v>#DIV/0!</v>
      </c>
      <c r="G3" s="5" t="e">
        <f>AVERAGE(上季度FTP定价指引!$B$14,上季度FTP定价指引!$E$14)</f>
        <v>#DIV/0!</v>
      </c>
      <c r="H3" s="5" t="e">
        <f>AVERAGE(上季度FTP定价指引!$B$5,上季度FTP定价指引!$E$5)</f>
        <v>#DIV/0!</v>
      </c>
      <c r="I3" s="5" t="e">
        <f>AVERAGE(上季度FTP定价指引!$B$10,上季度FTP定价指引!$E$10)</f>
        <v>#DIV/0!</v>
      </c>
      <c r="J3" s="5" t="e">
        <f>AVERAGE(上季度FTP定价指引!$B$15,上季度FTP定价指引!$E$15)</f>
        <v>#DIV/0!</v>
      </c>
      <c r="K3" s="5" t="e">
        <f>AVERAGE(B3:D3)</f>
        <v>#DIV/0!</v>
      </c>
      <c r="L3" s="5" t="e">
        <f>AVERAGE(E3:G3)</f>
        <v>#DIV/0!</v>
      </c>
      <c r="M3" s="5" t="e">
        <f>AVERAGE(H3:J3)</f>
        <v>#DIV/0!</v>
      </c>
      <c r="N3" s="16" t="s">
        <v>74</v>
      </c>
      <c r="O3" s="16" t="s">
        <v>75</v>
      </c>
      <c r="P3" s="16" t="s">
        <v>76</v>
      </c>
      <c r="Q3" s="16" t="s">
        <v>77</v>
      </c>
    </row>
    <row r="4" spans="1:17">
      <c r="A4" s="4" t="s">
        <v>78</v>
      </c>
      <c r="B4" s="5" t="e">
        <f>AVERAGE(上季度FTP定价指引!$C$3,上季度FTP定价指引!$F$3)</f>
        <v>#DIV/0!</v>
      </c>
      <c r="C4" s="5" t="e">
        <f>AVERAGE(上季度FTP定价指引!$C$8,上季度FTP定价指引!$F$8)</f>
        <v>#DIV/0!</v>
      </c>
      <c r="D4" s="5" t="e">
        <f>AVERAGE(上季度FTP定价指引!$C$13,上季度FTP定价指引!$F$13)</f>
        <v>#DIV/0!</v>
      </c>
      <c r="E4" s="5" t="e">
        <f>AVERAGE(上季度FTP定价指引!$C$4,上季度FTP定价指引!$F$4)</f>
        <v>#DIV/0!</v>
      </c>
      <c r="F4" s="5" t="e">
        <f>AVERAGE(上季度FTP定价指引!$C$9,上季度FTP定价指引!$F$9)</f>
        <v>#DIV/0!</v>
      </c>
      <c r="G4" s="5" t="e">
        <f>AVERAGE(上季度FTP定价指引!$C$14,上季度FTP定价指引!$F$14)</f>
        <v>#DIV/0!</v>
      </c>
      <c r="H4" s="5" t="e">
        <f>AVERAGE(上季度FTP定价指引!$C$5,上季度FTP定价指引!$F$5)</f>
        <v>#DIV/0!</v>
      </c>
      <c r="I4" s="5" t="e">
        <f>AVERAGE(上季度FTP定价指引!$C$10,上季度FTP定价指引!$F$10)</f>
        <v>#DIV/0!</v>
      </c>
      <c r="J4" s="5" t="e">
        <f>AVERAGE(上季度FTP定价指引!$C$15,上季度FTP定价指引!$F$15)</f>
        <v>#DIV/0!</v>
      </c>
      <c r="K4" s="5" t="e">
        <f>AVERAGE(B4:D4)</f>
        <v>#DIV/0!</v>
      </c>
      <c r="L4" s="5" t="e">
        <f>AVERAGE(E4:G4)</f>
        <v>#DIV/0!</v>
      </c>
      <c r="M4" s="5" t="e">
        <f>AVERAGE(H4:J4)</f>
        <v>#DIV/0!</v>
      </c>
      <c r="N4" s="16" t="s">
        <v>79</v>
      </c>
      <c r="O4" s="16" t="s">
        <v>80</v>
      </c>
      <c r="P4" s="16" t="s">
        <v>81</v>
      </c>
      <c r="Q4" s="16" t="s">
        <v>82</v>
      </c>
    </row>
    <row r="5" spans="1:17">
      <c r="A5" s="4" t="s">
        <v>83</v>
      </c>
      <c r="B5" s="5" t="e">
        <f>AVERAGE(上季度FTP定价指引!$D$3,上季度FTP定价指引!$G$3)</f>
        <v>#DIV/0!</v>
      </c>
      <c r="C5" s="5" t="e">
        <f>AVERAGE(上季度FTP定价指引!$D$8,上季度FTP定价指引!$G$8)</f>
        <v>#DIV/0!</v>
      </c>
      <c r="D5" s="5" t="e">
        <f>AVERAGE(上季度FTP定价指引!$D$13,上季度FTP定价指引!$G$13)</f>
        <v>#DIV/0!</v>
      </c>
      <c r="E5" s="5" t="e">
        <f>AVERAGE(上季度FTP定价指引!$D$4,上季度FTP定价指引!$G$4)</f>
        <v>#DIV/0!</v>
      </c>
      <c r="F5" s="5" t="e">
        <f>AVERAGE(上季度FTP定价指引!$D$9,上季度FTP定价指引!$G$9)</f>
        <v>#DIV/0!</v>
      </c>
      <c r="G5" s="5" t="e">
        <f>AVERAGE(上季度FTP定价指引!$D$14,上季度FTP定价指引!$G$14)</f>
        <v>#DIV/0!</v>
      </c>
      <c r="H5" s="5" t="e">
        <f>AVERAGE(上季度FTP定价指引!$D$5,上季度FTP定价指引!$G$5)</f>
        <v>#DIV/0!</v>
      </c>
      <c r="I5" s="5" t="e">
        <f>AVERAGE(上季度FTP定价指引!$D$10,上季度FTP定价指引!$G$10)</f>
        <v>#DIV/0!</v>
      </c>
      <c r="J5" s="5" t="e">
        <f>AVERAGE(上季度FTP定价指引!$D$15,上季度FTP定价指引!$G$15)</f>
        <v>#DIV/0!</v>
      </c>
      <c r="K5" s="5" t="e">
        <f>AVERAGE(B5:D5)</f>
        <v>#DIV/0!</v>
      </c>
      <c r="L5" s="5" t="e">
        <f>AVERAGE(E5:G5)</f>
        <v>#DIV/0!</v>
      </c>
      <c r="M5" s="5" t="e">
        <f>AVERAGE(H5:J5)</f>
        <v>#DIV/0!</v>
      </c>
      <c r="N5" s="16" t="s">
        <v>84</v>
      </c>
      <c r="O5" s="16" t="s">
        <v>85</v>
      </c>
      <c r="P5" s="16" t="s">
        <v>86</v>
      </c>
      <c r="Q5" s="16" t="s">
        <v>87</v>
      </c>
    </row>
    <row r="6" spans="1:1">
      <c r="A6" s="6" t="s">
        <v>65</v>
      </c>
    </row>
    <row r="10" ht="15.5" customHeight="1" spans="1:10">
      <c r="A10" s="7" t="s">
        <v>88</v>
      </c>
      <c r="B10" s="8" t="s">
        <v>6</v>
      </c>
      <c r="C10" s="8"/>
      <c r="D10" s="8"/>
      <c r="E10" s="8" t="s">
        <v>13</v>
      </c>
      <c r="F10" s="8"/>
      <c r="G10" s="8"/>
      <c r="H10" s="8" t="s">
        <v>20</v>
      </c>
      <c r="I10" s="8"/>
      <c r="J10" s="8"/>
    </row>
    <row r="11" spans="1:10">
      <c r="A11" s="7" t="s">
        <v>89</v>
      </c>
      <c r="B11" s="8" t="s">
        <v>3</v>
      </c>
      <c r="C11" s="8" t="s">
        <v>4</v>
      </c>
      <c r="D11" s="8" t="s">
        <v>5</v>
      </c>
      <c r="E11" s="8" t="s">
        <v>3</v>
      </c>
      <c r="F11" s="8" t="s">
        <v>4</v>
      </c>
      <c r="G11" s="8" t="s">
        <v>5</v>
      </c>
      <c r="H11" s="8" t="s">
        <v>90</v>
      </c>
      <c r="I11" s="8" t="s">
        <v>4</v>
      </c>
      <c r="J11" s="8" t="s">
        <v>5</v>
      </c>
    </row>
    <row r="12" spans="1:10">
      <c r="A12" s="7" t="s">
        <v>69</v>
      </c>
      <c r="B12" s="9" t="e">
        <f>$K$3+$N$3</f>
        <v>#DIV/0!</v>
      </c>
      <c r="C12" s="9" t="e">
        <f>$K$4+$N$4</f>
        <v>#DIV/0!</v>
      </c>
      <c r="D12" s="9" t="e">
        <f>$K$5+$N$5</f>
        <v>#DIV/0!</v>
      </c>
      <c r="E12" s="9" t="e">
        <f>$L$3+$N$3</f>
        <v>#DIV/0!</v>
      </c>
      <c r="F12" s="9" t="e">
        <f>$L$4+$N$4</f>
        <v>#DIV/0!</v>
      </c>
      <c r="G12" s="9" t="e">
        <f>$L$5+$N$5</f>
        <v>#DIV/0!</v>
      </c>
      <c r="H12" s="9" t="e">
        <f>$M$3+$N$3</f>
        <v>#DIV/0!</v>
      </c>
      <c r="I12" s="9" t="e">
        <f>$M$4+$N$4</f>
        <v>#DIV/0!</v>
      </c>
      <c r="J12" s="9" t="e">
        <f>$M$5+$N$5</f>
        <v>#DIV/0!</v>
      </c>
    </row>
    <row r="13" spans="1:10">
      <c r="A13" s="7" t="s">
        <v>70</v>
      </c>
      <c r="B13" s="9" t="e">
        <f>$K$3+$O$3</f>
        <v>#DIV/0!</v>
      </c>
      <c r="C13" s="9" t="e">
        <f>$K$4+$O$4</f>
        <v>#DIV/0!</v>
      </c>
      <c r="D13" s="9" t="e">
        <f>$K$5+$O$5</f>
        <v>#DIV/0!</v>
      </c>
      <c r="E13" s="9" t="e">
        <f>$L$3+$O$3</f>
        <v>#DIV/0!</v>
      </c>
      <c r="F13" s="9" t="e">
        <f>$L$4+$O$4</f>
        <v>#DIV/0!</v>
      </c>
      <c r="G13" s="9" t="e">
        <f>$L$5+$O$5</f>
        <v>#DIV/0!</v>
      </c>
      <c r="H13" s="9" t="e">
        <f>$M$3+$O$3</f>
        <v>#DIV/0!</v>
      </c>
      <c r="I13" s="9" t="e">
        <f>$M$4+$O$4</f>
        <v>#DIV/0!</v>
      </c>
      <c r="J13" s="9" t="e">
        <f>$M$5+$O$5</f>
        <v>#DIV/0!</v>
      </c>
    </row>
    <row r="14" spans="1:10">
      <c r="A14" s="7" t="s">
        <v>71</v>
      </c>
      <c r="B14" s="9" t="e">
        <f>$K$3+$P$3</f>
        <v>#DIV/0!</v>
      </c>
      <c r="C14" s="9" t="e">
        <f>$K$4+$P$4</f>
        <v>#DIV/0!</v>
      </c>
      <c r="D14" s="9" t="e">
        <f>$K$5+$P$5</f>
        <v>#DIV/0!</v>
      </c>
      <c r="E14" s="9" t="e">
        <f>$L$3+$P$3</f>
        <v>#DIV/0!</v>
      </c>
      <c r="F14" s="9" t="e">
        <f>$L$4+$P$4</f>
        <v>#DIV/0!</v>
      </c>
      <c r="G14" s="9" t="e">
        <f>$L$5+$P$5</f>
        <v>#DIV/0!</v>
      </c>
      <c r="H14" s="9" t="e">
        <f>$M$3+$P$3</f>
        <v>#DIV/0!</v>
      </c>
      <c r="I14" s="9" t="e">
        <f>$M$4+$P$4</f>
        <v>#DIV/0!</v>
      </c>
      <c r="J14" s="9" t="e">
        <f>$M$5+$P$5</f>
        <v>#DIV/0!</v>
      </c>
    </row>
    <row r="15" spans="1:10">
      <c r="A15" s="7" t="s">
        <v>91</v>
      </c>
      <c r="B15" s="9" t="e">
        <f>$K$3+$Q$3</f>
        <v>#DIV/0!</v>
      </c>
      <c r="C15" s="9" t="e">
        <f>$K$4+$Q$4</f>
        <v>#DIV/0!</v>
      </c>
      <c r="D15" s="9" t="e">
        <f>$K$5+$Q$5</f>
        <v>#DIV/0!</v>
      </c>
      <c r="E15" s="9" t="e">
        <f>$L$3+$Q$3</f>
        <v>#DIV/0!</v>
      </c>
      <c r="F15" s="9" t="e">
        <f>$L$4+$Q$4</f>
        <v>#DIV/0!</v>
      </c>
      <c r="G15" s="9" t="e">
        <f>$L$5+$Q$5</f>
        <v>#DIV/0!</v>
      </c>
      <c r="H15" s="9" t="e">
        <f>$M$3+$Q$3</f>
        <v>#DIV/0!</v>
      </c>
      <c r="I15" s="9" t="e">
        <f>$M$4+$Q$4</f>
        <v>#DIV/0!</v>
      </c>
      <c r="J15" s="9" t="e">
        <f>$M$5+$Q$5</f>
        <v>#DIV/0!</v>
      </c>
    </row>
    <row r="16" spans="1:1">
      <c r="A16" s="6" t="s">
        <v>65</v>
      </c>
    </row>
  </sheetData>
  <mergeCells count="9">
    <mergeCell ref="B1:D1"/>
    <mergeCell ref="E1:G1"/>
    <mergeCell ref="H1:J1"/>
    <mergeCell ref="K1:M1"/>
    <mergeCell ref="N1:Q1"/>
    <mergeCell ref="B10:D10"/>
    <mergeCell ref="E10:G10"/>
    <mergeCell ref="H10:J10"/>
    <mergeCell ref="A1:A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H36" sqref="H36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上季度FTP定价指引</vt:lpstr>
      <vt:lpstr>季度项目最低收益率定价指引</vt:lpstr>
      <vt:lpstr>包含公示的单元格已用有色标注,无需进行编辑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</dc:creator>
  <cp:lastModifiedBy>Entropy</cp:lastModifiedBy>
  <dcterms:created xsi:type="dcterms:W3CDTF">2023-01-07T00:02:00Z</dcterms:created>
  <dcterms:modified xsi:type="dcterms:W3CDTF">2023-02-06T17:22:21Z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7FDC1F593189A3AACEC5C36325F4D4D1</vt:lpwstr>
  </property>
  <property fmtid="{D5CDD505-2E9C-101B-9397-08002B2CF9AE}" pid="3" name="KSOProductBuildVer">
    <vt:lpwstr>2052-4.1.2.6545</vt:lpwstr>
  </property>
</Properties>
</file>