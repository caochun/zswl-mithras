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020"/>
  </bookViews>
  <sheets>
    <sheet name="包含公示的单元格已用有色标注,无需进行编辑" sheetId="1" r:id="rId1"/>
  </sheets>
  <calcPr calcId="144525"/>
</workbook>
</file>

<file path=xl/sharedStrings.xml><?xml version="1.0" encoding="utf-8"?>
<sst xmlns="http://schemas.openxmlformats.org/spreadsheetml/2006/main" count="99">
  <si>
    <t>期限</t>
  </si>
  <si>
    <t>成本费用计价</t>
  </si>
  <si>
    <t>金融市场波动计价</t>
  </si>
  <si>
    <t>成本加市场波动小计</t>
  </si>
  <si>
    <t>资产行业计价</t>
  </si>
  <si>
    <t>客户主体计价</t>
  </si>
  <si>
    <t>融资成本</t>
  </si>
  <si>
    <t>担保成本</t>
  </si>
  <si>
    <t>小计</t>
  </si>
  <si>
    <t>国股银票转贴现利率</t>
  </si>
  <si>
    <t>权重</t>
  </si>
  <si>
    <t>1年期shibor利率</t>
  </si>
  <si>
    <t>同期LPR利率</t>
  </si>
  <si>
    <t>融资成本趋势</t>
  </si>
  <si>
    <t>鼓励介入类</t>
  </si>
  <si>
    <t>适度支持类</t>
  </si>
  <si>
    <t>谨慎支持类</t>
  </si>
  <si>
    <t>国有/上市公司</t>
  </si>
  <si>
    <t>其他类</t>
  </si>
  <si>
    <t>1年内（含）</t>
  </si>
  <si>
    <t>{R3C1}</t>
  </si>
  <si>
    <t>{R3C2}</t>
  </si>
  <si>
    <t>{R3C4}</t>
  </si>
  <si>
    <t>{R3C5}</t>
  </si>
  <si>
    <t>{R3C6}</t>
  </si>
  <si>
    <t>{R3C7}</t>
  </si>
  <si>
    <t>{R3C8}</t>
  </si>
  <si>
    <t>{R3C9}</t>
  </si>
  <si>
    <t>{R3C10}</t>
  </si>
  <si>
    <t>{R3C11}</t>
  </si>
  <si>
    <t>{R3C14}</t>
  </si>
  <si>
    <t>{R3C15}</t>
  </si>
  <si>
    <t>{R3C16}</t>
  </si>
  <si>
    <t>{R3C17}</t>
  </si>
  <si>
    <t>{R3C18}</t>
  </si>
  <si>
    <t>1-3年（含）</t>
  </si>
  <si>
    <t>{R4C1}</t>
  </si>
  <si>
    <t>{R4C2}</t>
  </si>
  <si>
    <t>{R4C4}</t>
  </si>
  <si>
    <t>{R4C5}</t>
  </si>
  <si>
    <t>{R4C6}</t>
  </si>
  <si>
    <t>{R4C7}</t>
  </si>
  <si>
    <t>{R4C8}</t>
  </si>
  <si>
    <t>{R4C9}</t>
  </si>
  <si>
    <t>{R4C10}</t>
  </si>
  <si>
    <t>{R4C11}</t>
  </si>
  <si>
    <t>{R4C14}</t>
  </si>
  <si>
    <t>{R4C15}</t>
  </si>
  <si>
    <t>{R4C16}</t>
  </si>
  <si>
    <t>{R4C17}</t>
  </si>
  <si>
    <t>{R4C18}</t>
  </si>
  <si>
    <t>3-5年（含）</t>
  </si>
  <si>
    <t>{R5C1}</t>
  </si>
  <si>
    <t>{R5C2}</t>
  </si>
  <si>
    <t>{R5C4}</t>
  </si>
  <si>
    <t>{R5C5}</t>
  </si>
  <si>
    <t>{R5C6}</t>
  </si>
  <si>
    <t>{R5C7}</t>
  </si>
  <si>
    <t>{R5C8}</t>
  </si>
  <si>
    <t>{R5C9}</t>
  </si>
  <si>
    <t>{R5C10}</t>
  </si>
  <si>
    <t>{R5C11}</t>
  </si>
  <si>
    <t>{R5C14}</t>
  </si>
  <si>
    <t>{R5C15}</t>
  </si>
  <si>
    <t>{R5C16}</t>
  </si>
  <si>
    <t>{R5C17}</t>
  </si>
  <si>
    <t>{R5C18}</t>
  </si>
  <si>
    <t>单位：%</t>
  </si>
  <si>
    <t>备注：</t>
  </si>
  <si>
    <t>参考当年新增融资加权平均成本，本表数据参考1-8月平均水平</t>
  </si>
  <si>
    <t>上月末担保类用信余额/用信总额*0.5%</t>
  </si>
  <si>
    <t>国股票据贴现利率</t>
  </si>
  <si>
    <t>上月1年期平均贴现利率-上上月1年期平均贴现利率</t>
  </si>
  <si>
    <t>上月1年期shibor利率-上上月1年期shibor利率</t>
  </si>
  <si>
    <t>同期LPR</t>
  </si>
  <si>
    <t>1年/5年LPR利率波动水平</t>
  </si>
  <si>
    <t>上月同期平均融资成本较当年同期平均融资成本，如上月高于平均值，则判定资金成本上升趋势，趋势因子定价+0.2，反之同理。</t>
  </si>
  <si>
    <t>根据公司行业风险偏好口径</t>
  </si>
  <si>
    <t>FTP指导报价</t>
  </si>
  <si>
    <t>一年期（含）以内(%)</t>
  </si>
  <si>
    <t>一至三年期（含）(%)</t>
  </si>
  <si>
    <t>三至五年期（含）(%)</t>
  </si>
  <si>
    <t>其他</t>
  </si>
  <si>
    <t>工程机械类（厂商担保模式）</t>
  </si>
  <si>
    <t>{R26C1}</t>
  </si>
  <si>
    <t>协同类业务</t>
  </si>
  <si>
    <t>{R27C1}</t>
  </si>
  <si>
    <t>FTP收益指导报价</t>
  </si>
  <si>
    <t xml:space="preserve"> </t>
  </si>
  <si>
    <t>一年期（含）以内</t>
  </si>
  <si>
    <t>一至三年期（含）</t>
  </si>
  <si>
    <t>三年以上</t>
  </si>
  <si>
    <t>票据买入/卖出指导报价</t>
  </si>
  <si>
    <t>卖出价</t>
  </si>
  <si>
    <t>买入价</t>
  </si>
  <si>
    <t>{sellingPrice}</t>
  </si>
  <si>
    <t>{buyingPrice}</t>
  </si>
  <si>
    <t>本期报价自公布之日起生效</t>
  </si>
  <si>
    <t>新增立项项目租赁利率不得低于对应FTP指导价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</si>
</sst>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.0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仿宋"/>
      <charset val="134"/>
    </font>
    <font>
      <sz val="11"/>
      <color rgb="FF000000"/>
      <name val="宋体"/>
      <charset val="134"/>
      <scheme val="minor"/>
    </font>
    <font>
      <sz val="12"/>
      <color theme="1"/>
      <name val="仿宋"/>
      <charset val="134"/>
    </font>
    <font>
      <sz val="12"/>
      <color theme="1"/>
      <name val="Calibri"/>
      <charset val="134"/>
    </font>
    <font>
      <b/>
      <sz val="11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8" fillId="32" borderId="17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22" borderId="17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27" fillId="22" borderId="19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0" fillId="20" borderId="16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top"/>
    </xf>
    <xf numFmtId="0" fontId="7" fillId="0" borderId="5" xfId="0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top"/>
    </xf>
    <xf numFmtId="0" fontId="5" fillId="0" borderId="9" xfId="0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/>
    <xf numFmtId="9" fontId="3" fillId="0" borderId="2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37"/>
  <sheetViews>
    <sheetView tabSelected="1" zoomScale="66" zoomScaleNormal="66" workbookViewId="0">
      <selection activeCell="O19" sqref="O19"/>
    </sheetView>
  </sheetViews>
  <sheetFormatPr defaultColWidth="9" defaultRowHeight="17.6"/>
  <cols>
    <col min="1" max="1" width="30.7307692307692" style="1" customWidth="1"/>
    <col min="2" max="2" width="21.875" style="1" customWidth="1"/>
    <col min="3" max="3" width="30.2115384615385" style="1" customWidth="1"/>
    <col min="4" max="4" width="26.5673076923077" style="1" customWidth="1"/>
    <col min="5" max="12" width="9" style="1"/>
    <col min="13" max="13" width="19.0961538461538" style="1" customWidth="1"/>
    <col min="14" max="14" width="12.4903846153846" style="1" customWidth="1"/>
    <col min="15" max="19" width="9" style="1"/>
  </cols>
  <sheetData>
    <row r="1" ht="17.75" customHeight="1" spans="1:19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/>
      <c r="K1" s="2"/>
      <c r="L1" s="2"/>
      <c r="M1" s="2"/>
      <c r="N1" s="25" t="s">
        <v>3</v>
      </c>
      <c r="O1" s="2" t="s">
        <v>4</v>
      </c>
      <c r="P1" s="2"/>
      <c r="Q1" s="2"/>
      <c r="R1" s="2" t="s">
        <v>5</v>
      </c>
      <c r="S1" s="2"/>
    </row>
    <row r="2" ht="16.25" customHeight="1" spans="1:19">
      <c r="A2" s="2"/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  <c r="G2" s="2" t="s">
        <v>11</v>
      </c>
      <c r="H2" s="2" t="s">
        <v>10</v>
      </c>
      <c r="I2" s="2" t="s">
        <v>12</v>
      </c>
      <c r="J2" s="2" t="s">
        <v>10</v>
      </c>
      <c r="K2" s="2" t="s">
        <v>13</v>
      </c>
      <c r="L2" s="2" t="s">
        <v>10</v>
      </c>
      <c r="M2" s="3" t="s">
        <v>8</v>
      </c>
      <c r="N2" s="26"/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</row>
    <row r="3" ht="17.55" spans="1:19">
      <c r="A3" s="2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3"/>
      <c r="N3" s="27"/>
      <c r="O3" s="4"/>
      <c r="P3" s="4"/>
      <c r="Q3" s="4"/>
      <c r="R3" s="4"/>
      <c r="S3" s="4"/>
    </row>
    <row r="4" ht="18.35" spans="1:19">
      <c r="A4" s="4" t="s">
        <v>19</v>
      </c>
      <c r="B4" s="5" t="s">
        <v>20</v>
      </c>
      <c r="C4" s="6" t="s">
        <v>21</v>
      </c>
      <c r="D4" s="3" t="e">
        <f>B4+C4</f>
        <v>#VALUE!</v>
      </c>
      <c r="E4" s="5" t="s">
        <v>22</v>
      </c>
      <c r="F4" s="23" t="s">
        <v>23</v>
      </c>
      <c r="G4" s="5" t="s">
        <v>24</v>
      </c>
      <c r="H4" s="23" t="s">
        <v>25</v>
      </c>
      <c r="I4" s="5" t="s">
        <v>26</v>
      </c>
      <c r="J4" s="23" t="s">
        <v>27</v>
      </c>
      <c r="K4" s="5" t="s">
        <v>28</v>
      </c>
      <c r="L4" s="23" t="s">
        <v>29</v>
      </c>
      <c r="M4" s="3" t="e">
        <f>E4*F4+G4*H4+I4*J4+K4*L4</f>
        <v>#VALUE!</v>
      </c>
      <c r="N4" s="28" t="e">
        <f t="shared" ref="N4:N6" si="0">D4+M4</f>
        <v>#VALUE!</v>
      </c>
      <c r="O4" s="6" t="s">
        <v>30</v>
      </c>
      <c r="P4" s="6" t="s">
        <v>31</v>
      </c>
      <c r="Q4" s="6" t="s">
        <v>32</v>
      </c>
      <c r="R4" s="6" t="s">
        <v>33</v>
      </c>
      <c r="S4" s="6" t="s">
        <v>34</v>
      </c>
    </row>
    <row r="5" ht="18.35" spans="1:19">
      <c r="A5" s="4" t="s">
        <v>35</v>
      </c>
      <c r="B5" s="5" t="s">
        <v>36</v>
      </c>
      <c r="C5" s="6" t="s">
        <v>37</v>
      </c>
      <c r="D5" s="3" t="e">
        <f>B5+C5</f>
        <v>#VALUE!</v>
      </c>
      <c r="E5" s="5" t="s">
        <v>38</v>
      </c>
      <c r="F5" s="23" t="s">
        <v>39</v>
      </c>
      <c r="G5" s="5" t="s">
        <v>40</v>
      </c>
      <c r="H5" s="23" t="s">
        <v>41</v>
      </c>
      <c r="I5" s="5" t="s">
        <v>42</v>
      </c>
      <c r="J5" s="23" t="s">
        <v>43</v>
      </c>
      <c r="K5" s="5" t="s">
        <v>44</v>
      </c>
      <c r="L5" s="23" t="s">
        <v>45</v>
      </c>
      <c r="M5" s="3" t="e">
        <f>E5*F5+G5*H5+I5*J5+K5*L5</f>
        <v>#VALUE!</v>
      </c>
      <c r="N5" s="28" t="e">
        <f t="shared" si="0"/>
        <v>#VALUE!</v>
      </c>
      <c r="O5" s="6" t="s">
        <v>46</v>
      </c>
      <c r="P5" s="6" t="s">
        <v>47</v>
      </c>
      <c r="Q5" s="6" t="s">
        <v>48</v>
      </c>
      <c r="R5" s="6" t="s">
        <v>49</v>
      </c>
      <c r="S5" s="6" t="s">
        <v>50</v>
      </c>
    </row>
    <row r="6" ht="18.35" spans="1:19">
      <c r="A6" s="4" t="s">
        <v>51</v>
      </c>
      <c r="B6" s="5" t="s">
        <v>52</v>
      </c>
      <c r="C6" s="6" t="s">
        <v>53</v>
      </c>
      <c r="D6" s="3" t="e">
        <f>B6+C6</f>
        <v>#VALUE!</v>
      </c>
      <c r="E6" s="5" t="s">
        <v>54</v>
      </c>
      <c r="F6" s="23" t="s">
        <v>55</v>
      </c>
      <c r="G6" s="5" t="s">
        <v>56</v>
      </c>
      <c r="H6" s="23" t="s">
        <v>57</v>
      </c>
      <c r="I6" s="5" t="s">
        <v>58</v>
      </c>
      <c r="J6" s="23" t="s">
        <v>59</v>
      </c>
      <c r="K6" s="5" t="s">
        <v>60</v>
      </c>
      <c r="L6" s="23" t="s">
        <v>61</v>
      </c>
      <c r="M6" s="3" t="e">
        <f>E6*F6+G6*H6+I6*J6+K6*L6</f>
        <v>#VALUE!</v>
      </c>
      <c r="N6" s="28" t="e">
        <f t="shared" si="0"/>
        <v>#VALUE!</v>
      </c>
      <c r="O6" s="6" t="s">
        <v>62</v>
      </c>
      <c r="P6" s="6" t="s">
        <v>63</v>
      </c>
      <c r="Q6" s="6" t="s">
        <v>64</v>
      </c>
      <c r="R6" s="6" t="s">
        <v>65</v>
      </c>
      <c r="S6" s="6" t="s">
        <v>66</v>
      </c>
    </row>
    <row r="7" spans="1:19">
      <c r="A7" s="7" t="s">
        <v>67</v>
      </c>
      <c r="B7" s="8"/>
      <c r="C7" s="8"/>
      <c r="D7" s="8"/>
      <c r="E7" s="8"/>
      <c r="F7" s="24"/>
      <c r="G7" s="8"/>
      <c r="H7" s="24"/>
      <c r="I7" s="8"/>
      <c r="J7" s="24"/>
      <c r="K7" s="8"/>
      <c r="L7" s="24"/>
      <c r="M7" s="8"/>
      <c r="N7" s="8"/>
      <c r="O7" s="29"/>
      <c r="P7" s="29"/>
      <c r="Q7" s="29"/>
      <c r="R7" s="29"/>
      <c r="S7" s="29"/>
    </row>
    <row r="8" ht="14.8" customHeight="1" spans="1:2">
      <c r="A8" s="9" t="s">
        <v>68</v>
      </c>
      <c r="B8" s="10"/>
    </row>
    <row r="9" ht="14.8" customHeight="1" spans="1:2">
      <c r="A9" s="9" t="s">
        <v>6</v>
      </c>
      <c r="B9" s="10" t="s">
        <v>69</v>
      </c>
    </row>
    <row r="10" ht="14.8" customHeight="1" spans="1:2">
      <c r="A10" s="9" t="s">
        <v>7</v>
      </c>
      <c r="B10" s="10" t="s">
        <v>70</v>
      </c>
    </row>
    <row r="11" ht="14.8" customHeight="1" spans="1:2">
      <c r="A11" s="9" t="s">
        <v>71</v>
      </c>
      <c r="B11" s="10" t="s">
        <v>72</v>
      </c>
    </row>
    <row r="12" ht="14.8" customHeight="1" spans="1:2">
      <c r="A12" s="9" t="s">
        <v>11</v>
      </c>
      <c r="B12" s="10" t="s">
        <v>73</v>
      </c>
    </row>
    <row r="13" ht="14.8" customHeight="1" spans="1:2">
      <c r="A13" s="9" t="s">
        <v>74</v>
      </c>
      <c r="B13" s="10" t="s">
        <v>75</v>
      </c>
    </row>
    <row r="14" ht="14.8" customHeight="1" spans="1:2">
      <c r="A14" s="9" t="s">
        <v>13</v>
      </c>
      <c r="B14" s="10" t="s">
        <v>76</v>
      </c>
    </row>
    <row r="15" ht="14.8" customHeight="1" spans="1:2">
      <c r="A15" s="9" t="s">
        <v>4</v>
      </c>
      <c r="B15" s="10" t="s">
        <v>77</v>
      </c>
    </row>
    <row r="16" ht="14.8" customHeight="1"/>
    <row r="17" spans="1:4">
      <c r="A17" s="4" t="s">
        <v>78</v>
      </c>
      <c r="B17" s="4"/>
      <c r="C17" s="4"/>
      <c r="D17" s="4"/>
    </row>
    <row r="18" spans="1:4">
      <c r="A18" s="11" t="s">
        <v>17</v>
      </c>
      <c r="B18" s="11"/>
      <c r="C18" s="11"/>
      <c r="D18" s="11"/>
    </row>
    <row r="19" spans="1:4">
      <c r="A19" s="4"/>
      <c r="B19" s="4" t="s">
        <v>79</v>
      </c>
      <c r="C19" s="4" t="s">
        <v>80</v>
      </c>
      <c r="D19" s="4" t="s">
        <v>81</v>
      </c>
    </row>
    <row r="20" spans="1:4">
      <c r="A20" s="4" t="s">
        <v>14</v>
      </c>
      <c r="B20" s="12" t="e">
        <f>$N$4+$O$4+$R$4</f>
        <v>#VALUE!</v>
      </c>
      <c r="C20" s="12" t="e">
        <f>$N$5+$O$5+$R$5</f>
        <v>#VALUE!</v>
      </c>
      <c r="D20" s="12" t="e">
        <f>$N$6+$O$6+$R$6</f>
        <v>#VALUE!</v>
      </c>
    </row>
    <row r="21" spans="1:4">
      <c r="A21" s="4" t="s">
        <v>15</v>
      </c>
      <c r="B21" s="12" t="e">
        <f>$N$4+$P$4+$R$4</f>
        <v>#VALUE!</v>
      </c>
      <c r="C21" s="12" t="e">
        <f>$N$5+$P$5+$R$5</f>
        <v>#VALUE!</v>
      </c>
      <c r="D21" s="12" t="e">
        <f>$N$6+$P$6+$R$6</f>
        <v>#VALUE!</v>
      </c>
    </row>
    <row r="22" spans="1:4">
      <c r="A22" s="4" t="s">
        <v>16</v>
      </c>
      <c r="B22" s="12" t="e">
        <f>$N$4+$Q$4+$R$4</f>
        <v>#VALUE!</v>
      </c>
      <c r="C22" s="12" t="e">
        <f>$N$5+$Q$5+$R$5</f>
        <v>#VALUE!</v>
      </c>
      <c r="D22" s="12" t="e">
        <f>$N$6+$Q$6+$R$6</f>
        <v>#VALUE!</v>
      </c>
    </row>
    <row r="23" spans="1:4">
      <c r="A23" s="11" t="s">
        <v>82</v>
      </c>
      <c r="B23" s="11"/>
      <c r="C23" s="11"/>
      <c r="D23" s="11"/>
    </row>
    <row r="24" spans="1:4">
      <c r="A24" s="4" t="s">
        <v>14</v>
      </c>
      <c r="B24" s="12" t="e">
        <f>$N$4+$O$4+$S$4</f>
        <v>#VALUE!</v>
      </c>
      <c r="C24" s="12" t="e">
        <f>$N$5+$O$5+$S$5</f>
        <v>#VALUE!</v>
      </c>
      <c r="D24" s="12" t="e">
        <f>$N$6+$O$6+$S$6</f>
        <v>#VALUE!</v>
      </c>
    </row>
    <row r="25" spans="1:4">
      <c r="A25" s="4" t="s">
        <v>15</v>
      </c>
      <c r="B25" s="12" t="e">
        <f>$N$4+$P$4+$S$4</f>
        <v>#VALUE!</v>
      </c>
      <c r="C25" s="12" t="e">
        <f>$N$5+$P$5+$S$5</f>
        <v>#VALUE!</v>
      </c>
      <c r="D25" s="12" t="e">
        <f>$N$6+$P$6+$S$6</f>
        <v>#VALUE!</v>
      </c>
    </row>
    <row r="26" ht="18.35" spans="1:4">
      <c r="A26" s="4" t="s">
        <v>16</v>
      </c>
      <c r="B26" s="12" t="e">
        <f>$N$4+$Q$4+$S$4</f>
        <v>#VALUE!</v>
      </c>
      <c r="C26" s="12" t="e">
        <f>$N$5+$Q$5+$S$5</f>
        <v>#VALUE!</v>
      </c>
      <c r="D26" s="12" t="e">
        <f>$N$6+$Q$6+$S$6</f>
        <v>#VALUE!</v>
      </c>
    </row>
    <row r="27" ht="18.35" spans="1:4">
      <c r="A27" s="4" t="s">
        <v>83</v>
      </c>
      <c r="B27" s="13" t="s">
        <v>84</v>
      </c>
      <c r="C27" s="13" t="s">
        <v>84</v>
      </c>
      <c r="D27" s="13" t="s">
        <v>84</v>
      </c>
    </row>
    <row r="28" ht="18.35" spans="1:4">
      <c r="A28" s="4" t="s">
        <v>85</v>
      </c>
      <c r="B28" s="13" t="s">
        <v>86</v>
      </c>
      <c r="C28" s="13" t="s">
        <v>86</v>
      </c>
      <c r="D28" s="13" t="s">
        <v>86</v>
      </c>
    </row>
    <row r="29" spans="1:4">
      <c r="A29" s="4" t="s">
        <v>87</v>
      </c>
      <c r="B29" s="4"/>
      <c r="C29" s="4"/>
      <c r="D29" s="4"/>
    </row>
    <row r="30" spans="1:4">
      <c r="A30" s="14" t="s">
        <v>88</v>
      </c>
      <c r="B30" s="4" t="s">
        <v>89</v>
      </c>
      <c r="C30" s="4" t="s">
        <v>90</v>
      </c>
      <c r="D30" s="4" t="s">
        <v>91</v>
      </c>
    </row>
    <row r="31" spans="1:4">
      <c r="A31" s="15"/>
      <c r="B31" s="12" t="e">
        <f>(B20+B24)/2</f>
        <v>#VALUE!</v>
      </c>
      <c r="C31" s="12" t="e">
        <f>(C20+C24)/2</f>
        <v>#VALUE!</v>
      </c>
      <c r="D31" s="12" t="e">
        <f>(D20+D24)/2</f>
        <v>#VALUE!</v>
      </c>
    </row>
    <row r="32" spans="1:4">
      <c r="A32" s="4" t="s">
        <v>92</v>
      </c>
      <c r="B32" s="4"/>
      <c r="C32" s="4"/>
      <c r="D32" s="4"/>
    </row>
    <row r="33" spans="1:4">
      <c r="A33" s="16" t="s">
        <v>93</v>
      </c>
      <c r="B33" s="17"/>
      <c r="C33" s="16" t="s">
        <v>94</v>
      </c>
      <c r="D33" s="17"/>
    </row>
    <row r="34" ht="17.55" spans="1:4">
      <c r="A34" s="18" t="s">
        <v>95</v>
      </c>
      <c r="B34" s="19"/>
      <c r="C34" s="19" t="s">
        <v>96</v>
      </c>
      <c r="D34" s="20"/>
    </row>
    <row r="35" ht="16.8" spans="1:4">
      <c r="A35" s="7" t="s">
        <v>67</v>
      </c>
      <c r="B35" s="21"/>
      <c r="C35" s="21"/>
      <c r="D35" s="21"/>
    </row>
    <row r="36" spans="1:4">
      <c r="A36" s="10" t="s">
        <v>97</v>
      </c>
      <c r="B36" s="22"/>
      <c r="C36" s="22"/>
      <c r="D36" s="22"/>
    </row>
    <row r="37" spans="1:4">
      <c r="A37" s="10" t="s">
        <v>98</v>
      </c>
      <c r="B37" s="22"/>
      <c r="C37" s="22"/>
      <c r="D37" s="22"/>
    </row>
  </sheetData>
  <mergeCells count="33">
    <mergeCell ref="B1:D1"/>
    <mergeCell ref="E1:M1"/>
    <mergeCell ref="O1:Q1"/>
    <mergeCell ref="R1:S1"/>
    <mergeCell ref="A17:D17"/>
    <mergeCell ref="A18:D18"/>
    <mergeCell ref="A23:D23"/>
    <mergeCell ref="A29:D29"/>
    <mergeCell ref="A32:D32"/>
    <mergeCell ref="A33:B33"/>
    <mergeCell ref="C33:D33"/>
    <mergeCell ref="A34:B34"/>
    <mergeCell ref="C34:D34"/>
    <mergeCell ref="A1:A3"/>
    <mergeCell ref="A30:A3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1:N3"/>
    <mergeCell ref="O2:O3"/>
    <mergeCell ref="P2:P3"/>
    <mergeCell ref="Q2:Q3"/>
    <mergeCell ref="R2:R3"/>
    <mergeCell ref="S2:S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包含公示的单元格已用有色标注,无需进行编辑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</dc:creator>
  <cp:lastModifiedBy>Entropy</cp:lastModifiedBy>
  <dcterms:created xsi:type="dcterms:W3CDTF">2023-01-06T22:32:00Z</dcterms:created>
  <dcterms:modified xsi:type="dcterms:W3CDTF">2023-01-16T10:23:32Z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4A5D87C2112060EBE66EB66354E97620</vt:lpwstr>
  </property>
  <property fmtid="{D5CDD505-2E9C-101B-9397-08002B2CF9AE}" pid="3" name="KSOProductBuildVer">
    <vt:lpwstr>2052-4.1.2.6545</vt:lpwstr>
  </property>
</Properties>
</file>