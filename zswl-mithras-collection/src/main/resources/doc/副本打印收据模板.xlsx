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660" windowHeight="12160" activeTab="1"/>
  </bookViews>
  <sheets>
    <sheet name="收据汇总表" sheetId="24" r:id="rId1"/>
    <sheet name="新疆博海水泥有限公司" sheetId="19" r:id="rId2"/>
    <sheet name="打印资料汇总表202012" sheetId="18" state="hidden" r:id="rId3"/>
  </sheets>
  <definedNames>
    <definedName name="_xlnm._FilterDatabase" localSheetId="2" hidden="1">打印资料汇总表202012!$A$2:$I$36</definedName>
    <definedName name="_xlnm._FilterDatabase" localSheetId="0" hidden="1">收据汇总表!#REF!</definedName>
    <definedName name="_xlnm._FilterDatabase" localSheetId="1" hidden="1">新疆博海水泥有限公司!$A$1:$U$2</definedName>
    <definedName name="_xlnm.Print_Area" localSheetId="2">打印资料汇总表202012!$A$1:$F$2</definedName>
    <definedName name="_xlnm.Print_Area" localSheetId="1">新疆博海水泥有限公司!$A$1:$W$34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<sst xmlns="http://schemas.openxmlformats.org/spreadsheetml/2006/main" count="199" uniqueCount="94">
  <si>
    <t>客户</t>
  </si>
  <si>
    <t>合同编号</t>
  </si>
  <si>
    <t>现金流编号</t>
  </si>
  <si>
    <t>收据内容</t>
  </si>
  <si>
    <t>应收金额(元)</t>
  </si>
  <si>
    <t>应收日期</t>
  </si>
  <si>
    <t>租金</t>
  </si>
  <si>
    <t>租赁保证金</t>
  </si>
  <si>
    <t>号码</t>
  </si>
  <si>
    <t>期数</t>
  </si>
  <si>
    <t>租金实际到账日期</t>
  </si>
  <si>
    <t>{.clientName}</t>
  </si>
  <si>
    <t>{.contractCode}</t>
  </si>
  <si>
    <t>{.code}</t>
  </si>
  <si>
    <t>{.cashFlowItem}</t>
  </si>
  <si>
    <t>{.planCollectionAmount}</t>
  </si>
  <si>
    <t>{.planCollectionDate}</t>
  </si>
  <si>
    <t>浙商租【2022】租字第(A-0062)号</t>
  </si>
  <si>
    <t xml:space="preserve">          收   据</t>
  </si>
  <si>
    <t>NO：</t>
  </si>
  <si>
    <t>{headlist.code}</t>
  </si>
  <si>
    <t xml:space="preserve">                   R E C E I P T</t>
  </si>
  <si>
    <t>{headlist.year}</t>
  </si>
  <si>
    <t>年</t>
  </si>
  <si>
    <t>{headlist.month}</t>
  </si>
  <si>
    <t>月</t>
  </si>
  <si>
    <t>{headlist.day}</t>
  </si>
  <si>
    <t>日</t>
  </si>
  <si>
    <t>今收到</t>
  </si>
  <si>
    <t>{headlist.clientName}</t>
  </si>
  <si>
    <t>{headlist.contractCode}</t>
  </si>
  <si>
    <t>金额（大写）</t>
  </si>
  <si>
    <t>{headlist.cnAmount}</t>
  </si>
  <si>
    <t>收款单位（盖章）</t>
  </si>
  <si>
    <t>￥：</t>
  </si>
  <si>
    <t>{headlist.amount}</t>
  </si>
  <si>
    <t>核准</t>
  </si>
  <si>
    <t>会计</t>
  </si>
  <si>
    <t>郑曦</t>
  </si>
  <si>
    <t>记账</t>
  </si>
  <si>
    <t>出纳</t>
  </si>
  <si>
    <t>王诗岚</t>
  </si>
  <si>
    <t>经手人</t>
  </si>
  <si>
    <t>本金</t>
  </si>
  <si>
    <t>利息</t>
  </si>
  <si>
    <t>万城万充杭州新能源汽车服务有限公司C0001</t>
  </si>
  <si>
    <t>租赁本金</t>
  </si>
  <si>
    <t>20201201</t>
  </si>
  <si>
    <t>20201202</t>
  </si>
  <si>
    <t>万城万充杭州新能源汽车服务有限公司C0002</t>
  </si>
  <si>
    <t>万城万充杭州新能源汽车服务有限公司C0003</t>
  </si>
  <si>
    <t>20201203</t>
  </si>
  <si>
    <t>宁波万城万充电动汽车服务有限公司C0004</t>
  </si>
  <si>
    <t>20201204</t>
  </si>
  <si>
    <t>绍兴亿充新能源汽车服务有限公司C0005</t>
  </si>
  <si>
    <t>20201205</t>
  </si>
  <si>
    <t>万城万充杭州新能源汽车服务有限公司C0006</t>
  </si>
  <si>
    <t>20201206</t>
  </si>
  <si>
    <t>苏州亿充新能源汽车租赁有限公司C0007</t>
  </si>
  <si>
    <t>20201207</t>
  </si>
  <si>
    <t>佛山市万城万充新能源汽车租赁有限公司C0008</t>
  </si>
  <si>
    <t>20201208</t>
  </si>
  <si>
    <t>万城万充珠海电动汽车运营有限公司C0009</t>
  </si>
  <si>
    <t>20201210</t>
  </si>
  <si>
    <t>温州万城万充新能源汽车服务有限公司C0010</t>
  </si>
  <si>
    <t>20201211</t>
  </si>
  <si>
    <t>万城万充杭州新能源汽车服务有限公司C0011</t>
  </si>
  <si>
    <t>20201212</t>
  </si>
  <si>
    <t>万城万充福州电动汽车运营有限责任公司C0012</t>
  </si>
  <si>
    <t>20201213</t>
  </si>
  <si>
    <t>万城万充福州电动汽车运营有限责任公司C0013</t>
  </si>
  <si>
    <t>20201214</t>
  </si>
  <si>
    <t>长沙万城万充新能源汽车租赁有限公司C0016</t>
  </si>
  <si>
    <t>20201215</t>
  </si>
  <si>
    <t>万城万充武汉新能源汽车服务有限公司C0018</t>
  </si>
  <si>
    <t>20201216</t>
  </si>
  <si>
    <t>万城万充泉州电动汽车运营有限责任公司C0014</t>
  </si>
  <si>
    <t>20201217</t>
  </si>
  <si>
    <t>广东万城万充电动车运营股份有限公司C0019</t>
  </si>
  <si>
    <t>20201218</t>
  </si>
  <si>
    <t>万城万充（广州）新能源汽车租赁有限公司C0020</t>
  </si>
  <si>
    <t>20201219</t>
  </si>
  <si>
    <t>万城万充（广州）新能源汽车租赁有限公司C0021</t>
  </si>
  <si>
    <t>20201220</t>
  </si>
  <si>
    <t>万城万充（广州）新能源汽车租赁有限公司C0022</t>
  </si>
  <si>
    <t>20201221</t>
  </si>
  <si>
    <t>万城万充（广州）新能源汽车租赁有限公司C0023</t>
  </si>
  <si>
    <t>20201222</t>
  </si>
  <si>
    <t>万城万充（广州）新能源汽车租赁有限公司C0024</t>
  </si>
  <si>
    <t>20201223</t>
  </si>
  <si>
    <t>万城万充（广州）新能源汽车租赁有限公司C0025</t>
  </si>
  <si>
    <t>20201224</t>
  </si>
  <si>
    <t>苏州亿充新能源汽车租赁有限公司C0026</t>
  </si>
  <si>
    <t>20201225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</si>
</sst>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_-;\-* #,##0_-;_-* &quot;-&quot;_-;_-@_-"/>
    <numFmt numFmtId="177" formatCode="0.00_);[Red]\(0.00\)"/>
    <numFmt numFmtId="178" formatCode="#,##0.00_ "/>
    <numFmt numFmtId="179" formatCode="yyyy&quot;年&quot;m&quot;月&quot;d&quot;日&quot;;@"/>
  </numFmts>
  <fonts count="3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3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b/>
      <sz val="13"/>
      <name val="宋体"/>
      <charset val="134"/>
    </font>
    <font>
      <sz val="12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i/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3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134"/>
      <scheme val="minor"/>
    </font>
    <font>
      <sz val="10"/>
      <name val="Arial"/>
      <charset val="134"/>
    </font>
    <font>
      <u/>
      <sz val="11"/>
      <color theme="1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3" fillId="0" borderId="0">
      <alignment vertical="center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  <protection locked="0"/>
    </xf>
    <xf numFmtId="0" fontId="33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33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0" fontId="4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1" fillId="2" borderId="1" xfId="1" applyFont="1" applyFill="1" applyBorder="1" applyAlignment="1">
      <alignment horizontal="center" vertical="center"/>
    </xf>
    <xf numFmtId="40" fontId="4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1" fillId="3" borderId="1" xfId="1" applyFont="1" applyFill="1" applyBorder="1" applyAlignment="1">
      <alignment horizontal="center" vertical="center"/>
    </xf>
    <xf numFmtId="40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0" borderId="1" xfId="124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177" fontId="1" fillId="3" borderId="0" xfId="0" applyNumberFormat="1" applyFont="1" applyFill="1">
      <alignment vertical="center"/>
    </xf>
    <xf numFmtId="177" fontId="2" fillId="2" borderId="0" xfId="0" applyNumberFormat="1" applyFont="1" applyFill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0" xfId="0" applyFont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  <xf numFmtId="0" fontId="0" fillId="0" borderId="0" xfId="0" applyAlignment="1"/>
    <xf numFmtId="49" fontId="0" fillId="0" borderId="0" xfId="0" applyNumberFormat="1" applyFont="1" applyAlignment="1">
      <alignment horizontal="left" vertical="center"/>
    </xf>
    <xf numFmtId="177" fontId="0" fillId="0" borderId="0" xfId="0" applyNumberFormat="1" applyFont="1" applyAlignment="1" applyProtection="1">
      <alignment horizontal="right" vertical="center"/>
      <protection locked="0"/>
    </xf>
    <xf numFmtId="0" fontId="10" fillId="0" borderId="0" xfId="0" applyFont="1" applyAlignment="1">
      <alignment horizontal="center" vertical="center"/>
    </xf>
    <xf numFmtId="4" fontId="0" fillId="0" borderId="0" xfId="0" applyNumberFormat="1" applyFont="1" applyAlignment="1" applyProtection="1">
      <alignment horizontal="left" vertical="center"/>
      <protection locked="0"/>
    </xf>
    <xf numFmtId="4" fontId="0" fillId="0" borderId="0" xfId="0" applyNumberFormat="1" applyAlignment="1" applyProtection="1">
      <alignment horizontal="left" vertical="center"/>
      <protection locked="0"/>
    </xf>
    <xf numFmtId="0" fontId="8" fillId="0" borderId="0" xfId="0" applyFont="1">
      <alignment vertical="center"/>
    </xf>
    <xf numFmtId="0" fontId="0" fillId="0" borderId="0" xfId="0" applyFont="1" applyProtection="1">
      <alignment vertical="center"/>
      <protection locked="0"/>
    </xf>
    <xf numFmtId="177" fontId="0" fillId="0" borderId="0" xfId="0" applyNumberFormat="1" applyFont="1" applyAlignment="1">
      <alignment horizontal="right" vertical="center"/>
    </xf>
    <xf numFmtId="0" fontId="0" fillId="0" borderId="0" xfId="0" applyFont="1">
      <alignment vertical="center"/>
    </xf>
    <xf numFmtId="177" fontId="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textRotation="255"/>
    </xf>
    <xf numFmtId="0" fontId="10" fillId="0" borderId="0" xfId="0" applyFont="1" applyAlignment="1">
      <alignment horizontal="justify" vertical="center"/>
    </xf>
    <xf numFmtId="0" fontId="0" fillId="2" borderId="0" xfId="0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>
      <alignment vertical="center"/>
    </xf>
    <xf numFmtId="0" fontId="2" fillId="0" borderId="0" xfId="0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179" fontId="1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14" fontId="0" fillId="0" borderId="1" xfId="0" applyNumberFormat="1" applyBorder="1">
      <alignment vertical="center"/>
    </xf>
  </cellXfs>
  <cellStyles count="1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10" xfId="50"/>
    <cellStyle name="百分比 2 11" xfId="51"/>
    <cellStyle name="百分比 2 12" xfId="52"/>
    <cellStyle name="百分比 2 13" xfId="53"/>
    <cellStyle name="百分比 2 14" xfId="54"/>
    <cellStyle name="百分比 2 15" xfId="55"/>
    <cellStyle name="百分比 2 16" xfId="56"/>
    <cellStyle name="百分比 2 17" xfId="57"/>
    <cellStyle name="百分比 2 18" xfId="58"/>
    <cellStyle name="百分比 2 19" xfId="59"/>
    <cellStyle name="百分比 2 2" xfId="60"/>
    <cellStyle name="百分比 2 20" xfId="61"/>
    <cellStyle name="百分比 2 21" xfId="62"/>
    <cellStyle name="百分比 2 22" xfId="63"/>
    <cellStyle name="百分比 2 23" xfId="64"/>
    <cellStyle name="百分比 2 24" xfId="65"/>
    <cellStyle name="百分比 2 25" xfId="66"/>
    <cellStyle name="百分比 2 26" xfId="67"/>
    <cellStyle name="百分比 2 27" xfId="68"/>
    <cellStyle name="百分比 2 28" xfId="69"/>
    <cellStyle name="百分比 2 29" xfId="70"/>
    <cellStyle name="百分比 2 3" xfId="71"/>
    <cellStyle name="百分比 2 30" xfId="72"/>
    <cellStyle name="百分比 2 31" xfId="73"/>
    <cellStyle name="百分比 2 32" xfId="74"/>
    <cellStyle name="百分比 2 33" xfId="75"/>
    <cellStyle name="百分比 2 34" xfId="76"/>
    <cellStyle name="百分比 2 35" xfId="77"/>
    <cellStyle name="百分比 2 36" xfId="78"/>
    <cellStyle name="百分比 2 37" xfId="79"/>
    <cellStyle name="百分比 2 38" xfId="80"/>
    <cellStyle name="百分比 2 39" xfId="81"/>
    <cellStyle name="百分比 2 4" xfId="82"/>
    <cellStyle name="百分比 2 40" xfId="83"/>
    <cellStyle name="百分比 2 5" xfId="84"/>
    <cellStyle name="百分比 2 6" xfId="85"/>
    <cellStyle name="百分比 2 7" xfId="86"/>
    <cellStyle name="百分比 2 8" xfId="87"/>
    <cellStyle name="百分比 2 9" xfId="88"/>
    <cellStyle name="百分比 3" xfId="89"/>
    <cellStyle name="百分比 3 2" xfId="90"/>
    <cellStyle name="差_融资租赁业务合同情况汇总表" xfId="91"/>
    <cellStyle name="差_融资租赁业务合同情况汇总表 2" xfId="92"/>
    <cellStyle name="差_融资租赁业务合同情况汇总表 3" xfId="93"/>
    <cellStyle name="差_融资租赁业务合同情况汇总表_1" xfId="94"/>
    <cellStyle name="差_融资租赁业务合同情况汇总表_1 2" xfId="95"/>
    <cellStyle name="差_融资租赁业务合同情况汇总表_1 3" xfId="96"/>
    <cellStyle name="常规 2" xfId="97"/>
    <cellStyle name="常规 2 10" xfId="98"/>
    <cellStyle name="常规 2 11" xfId="99"/>
    <cellStyle name="常规 2 12" xfId="100"/>
    <cellStyle name="常规 2 13" xfId="101"/>
    <cellStyle name="常规 2 14" xfId="102"/>
    <cellStyle name="常规 2 15" xfId="103"/>
    <cellStyle name="常规 2 16" xfId="104"/>
    <cellStyle name="常规 2 17" xfId="105"/>
    <cellStyle name="常规 2 18" xfId="106"/>
    <cellStyle name="常规 2 19" xfId="107"/>
    <cellStyle name="常规 2 2" xfId="108"/>
    <cellStyle name="常规 2 2 2" xfId="109"/>
    <cellStyle name="常规 2 3" xfId="110"/>
    <cellStyle name="常规 2 4" xfId="111"/>
    <cellStyle name="常规 2 5" xfId="112"/>
    <cellStyle name="常规 2 6" xfId="113"/>
    <cellStyle name="常规 2 7" xfId="114"/>
    <cellStyle name="常规 2 8" xfId="115"/>
    <cellStyle name="常规 2 9" xfId="116"/>
    <cellStyle name="常规 3" xfId="117"/>
    <cellStyle name="常规 3 2" xfId="118"/>
    <cellStyle name="常规 4" xfId="119"/>
    <cellStyle name="常规 4 2" xfId="120"/>
    <cellStyle name="常规 4 3" xfId="121"/>
    <cellStyle name="常规 5" xfId="122"/>
    <cellStyle name="常规 5 2" xfId="123"/>
    <cellStyle name="常规_凭证" xfId="124"/>
    <cellStyle name="超链接 2" xfId="125"/>
    <cellStyle name="好_融资租赁业务合同情况汇总表" xfId="126"/>
    <cellStyle name="好_融资租赁业务合同情况汇总表 2" xfId="127"/>
    <cellStyle name="好_融资租赁业务合同情况汇总表 3" xfId="128"/>
    <cellStyle name="好_融资租赁业务合同情况汇总表_1" xfId="129"/>
    <cellStyle name="好_融资租赁业务合同情况汇总表_1 2" xfId="130"/>
    <cellStyle name="好_融资租赁业务合同情况汇总表_1 3" xfId="131"/>
    <cellStyle name="千位分隔 2" xfId="132"/>
    <cellStyle name="千位分隔 2 2" xfId="133"/>
    <cellStyle name="千位分隔 2 3" xfId="134"/>
    <cellStyle name="千位分隔 2 4" xfId="135"/>
    <cellStyle name="千位分隔 3" xfId="136"/>
    <cellStyle name="千位分隔 3 2" xfId="137"/>
    <cellStyle name="千位分隔 3 3" xfId="138"/>
    <cellStyle name="千位分隔 3 4" xfId="139"/>
    <cellStyle name="千位分隔 4" xfId="140"/>
    <cellStyle name="千位分隔 4 2" xfId="141"/>
    <cellStyle name="千位分隔 4 3" xfId="142"/>
    <cellStyle name="千位分隔 6 2" xfId="143"/>
    <cellStyle name="千位分隔 6 3" xfId="144"/>
    <cellStyle name="千位分隔 7 2" xfId="145"/>
    <cellStyle name="千位分隔 7 3" xfId="146"/>
    <cellStyle name="千位分隔 8 2" xfId="147"/>
    <cellStyle name="千位分隔 8 3" xfId="148"/>
    <cellStyle name="千位分隔[0] 2" xfId="149"/>
    <cellStyle name="千位分隔[0] 2 2" xfId="150"/>
    <cellStyle name="千位分隔[0] 2 3" xfId="151"/>
  </cellStyles>
  <tableStyles count="0" defaultTableStyle="TableStyleMedium9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0</xdr:colOff>
      <xdr:row>4</xdr:row>
      <xdr:rowOff>161925</xdr:rowOff>
    </xdr:from>
    <xdr:to>
      <xdr:col>19</xdr:col>
      <xdr:colOff>133350</xdr:colOff>
      <xdr:row>4</xdr:row>
      <xdr:rowOff>171449</xdr:rowOff>
    </xdr:to>
    <xdr:cxnSp>
      <xdr:nvCxnSpPr>
        <xdr:cNvPr id="2" name="直接连接符 1"/>
        <xdr:cNvCxnSpPr/>
      </xdr:nvCxnSpPr>
      <xdr:spPr>
        <a:xfrm flipV="1">
          <a:off x="1166495" y="1314450"/>
          <a:ext cx="4467860" cy="889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5</xdr:row>
      <xdr:rowOff>361950</xdr:rowOff>
    </xdr:from>
    <xdr:to>
      <xdr:col>19</xdr:col>
      <xdr:colOff>161925</xdr:colOff>
      <xdr:row>5</xdr:row>
      <xdr:rowOff>371475</xdr:rowOff>
    </xdr:to>
    <xdr:cxnSp>
      <xdr:nvCxnSpPr>
        <xdr:cNvPr id="3" name="直接连接符 2"/>
        <xdr:cNvCxnSpPr/>
      </xdr:nvCxnSpPr>
      <xdr:spPr>
        <a:xfrm>
          <a:off x="440055" y="1924050"/>
          <a:ext cx="5222875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636270</xdr:colOff>
      <xdr:row>7</xdr:row>
      <xdr:rowOff>57150</xdr:rowOff>
    </xdr:from>
    <xdr:to>
      <xdr:col>19</xdr:col>
      <xdr:colOff>106680</xdr:colOff>
      <xdr:row>7</xdr:row>
      <xdr:rowOff>66676</xdr:rowOff>
    </xdr:to>
    <xdr:cxnSp>
      <xdr:nvCxnSpPr>
        <xdr:cNvPr id="5" name="直接连接符 4"/>
        <xdr:cNvCxnSpPr/>
      </xdr:nvCxnSpPr>
      <xdr:spPr>
        <a:xfrm>
          <a:off x="1076325" y="2343150"/>
          <a:ext cx="4531360" cy="9525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161925</xdr:colOff>
      <xdr:row>7</xdr:row>
      <xdr:rowOff>323850</xdr:rowOff>
    </xdr:from>
    <xdr:to>
      <xdr:col>19</xdr:col>
      <xdr:colOff>57150</xdr:colOff>
      <xdr:row>7</xdr:row>
      <xdr:rowOff>323851</xdr:rowOff>
    </xdr:to>
    <xdr:cxnSp>
      <xdr:nvCxnSpPr>
        <xdr:cNvPr id="6" name="直接连接符 5"/>
        <xdr:cNvCxnSpPr/>
      </xdr:nvCxnSpPr>
      <xdr:spPr>
        <a:xfrm>
          <a:off x="3914140" y="2609850"/>
          <a:ext cx="164401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102870</xdr:colOff>
      <xdr:row>3</xdr:row>
      <xdr:rowOff>133350</xdr:rowOff>
    </xdr:from>
    <xdr:to>
      <xdr:col>20</xdr:col>
      <xdr:colOff>6985</xdr:colOff>
      <xdr:row>9</xdr:row>
      <xdr:rowOff>123825</xdr:rowOff>
    </xdr:to>
    <xdr:sp>
      <xdr:nvSpPr>
        <xdr:cNvPr id="7" name="矩形 6"/>
        <xdr:cNvSpPr/>
      </xdr:nvSpPr>
      <xdr:spPr>
        <a:xfrm>
          <a:off x="102870" y="914400"/>
          <a:ext cx="5592445" cy="207073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zh-CN" altLang="en-US" sz="1100"/>
        </a:p>
      </xdr:txBody>
    </xdr:sp>
    <xdr:clientData/>
  </xdr:twoCellAnchor>
  <xdr:twoCellAnchor editAs="absolute">
    <xdr:from>
      <xdr:col>0</xdr:col>
      <xdr:colOff>171450</xdr:colOff>
      <xdr:row>14</xdr:row>
      <xdr:rowOff>101600</xdr:rowOff>
    </xdr:from>
    <xdr:to>
      <xdr:col>20</xdr:col>
      <xdr:colOff>0</xdr:colOff>
      <xdr:row>21</xdr:row>
      <xdr:rowOff>28575</xdr:rowOff>
    </xdr:to>
    <xdr:sp>
      <xdr:nvSpPr>
        <xdr:cNvPr id="8" name="矩形 7"/>
        <xdr:cNvSpPr/>
      </xdr:nvSpPr>
      <xdr:spPr>
        <a:xfrm>
          <a:off x="171450" y="4246880"/>
          <a:ext cx="5516880" cy="2392045"/>
        </a:xfrm>
        <a:prstGeom prst="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2</xdr:col>
      <xdr:colOff>25400</xdr:colOff>
      <xdr:row>16</xdr:row>
      <xdr:rowOff>60325</xdr:rowOff>
    </xdr:from>
    <xdr:to>
      <xdr:col>20</xdr:col>
      <xdr:colOff>27305</xdr:colOff>
      <xdr:row>16</xdr:row>
      <xdr:rowOff>69849</xdr:rowOff>
    </xdr:to>
    <xdr:cxnSp>
      <xdr:nvCxnSpPr>
        <xdr:cNvPr id="9" name="直接连接符 8"/>
        <xdr:cNvCxnSpPr/>
      </xdr:nvCxnSpPr>
      <xdr:spPr>
        <a:xfrm flipV="1">
          <a:off x="1191895" y="4733290"/>
          <a:ext cx="4523740" cy="8890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0</xdr:colOff>
      <xdr:row>17</xdr:row>
      <xdr:rowOff>149225</xdr:rowOff>
    </xdr:from>
    <xdr:to>
      <xdr:col>19</xdr:col>
      <xdr:colOff>162560</xdr:colOff>
      <xdr:row>17</xdr:row>
      <xdr:rowOff>158750</xdr:rowOff>
    </xdr:to>
    <xdr:cxnSp>
      <xdr:nvCxnSpPr>
        <xdr:cNvPr id="11" name="直接连接符 10"/>
        <xdr:cNvCxnSpPr/>
      </xdr:nvCxnSpPr>
      <xdr:spPr>
        <a:xfrm>
          <a:off x="440055" y="5250815"/>
          <a:ext cx="5223510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2</xdr:col>
      <xdr:colOff>1905</xdr:colOff>
      <xdr:row>19</xdr:row>
      <xdr:rowOff>139700</xdr:rowOff>
    </xdr:from>
    <xdr:to>
      <xdr:col>19</xdr:col>
      <xdr:colOff>152400</xdr:colOff>
      <xdr:row>19</xdr:row>
      <xdr:rowOff>149226</xdr:rowOff>
    </xdr:to>
    <xdr:cxnSp>
      <xdr:nvCxnSpPr>
        <xdr:cNvPr id="12" name="直接连接符 11"/>
        <xdr:cNvCxnSpPr/>
      </xdr:nvCxnSpPr>
      <xdr:spPr>
        <a:xfrm>
          <a:off x="1168400" y="6003290"/>
          <a:ext cx="4485005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>
    <xdr:from>
      <xdr:col>20</xdr:col>
      <xdr:colOff>133350</xdr:colOff>
      <xdr:row>3</xdr:row>
      <xdr:rowOff>95250</xdr:rowOff>
    </xdr:from>
    <xdr:to>
      <xdr:col>21</xdr:col>
      <xdr:colOff>323850</xdr:colOff>
      <xdr:row>7</xdr:row>
      <xdr:rowOff>209549</xdr:rowOff>
    </xdr:to>
    <xdr:sp>
      <xdr:nvSpPr>
        <xdr:cNvPr id="13" name="Text Box 10"/>
        <xdr:cNvSpPr txBox="1">
          <a:spLocks noChangeArrowheads="1"/>
        </xdr:cNvSpPr>
      </xdr:nvSpPr>
      <xdr:spPr>
        <a:xfrm>
          <a:off x="5821680" y="876300"/>
          <a:ext cx="388620" cy="161861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zh-CN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+mn-ea"/>
              <a:cs typeface="+mn-cs"/>
            </a:rPr>
            <a:t>第二联：客户联</a:t>
          </a:r>
          <a:endParaRPr kumimoji="0" lang="zh-CN" altLang="en-US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+mn-ea"/>
            <a:cs typeface="+mn-cs"/>
          </a:endParaRPr>
        </a:p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>
    <xdr:from>
      <xdr:col>20</xdr:col>
      <xdr:colOff>28575</xdr:colOff>
      <xdr:row>15</xdr:row>
      <xdr:rowOff>95250</xdr:rowOff>
    </xdr:from>
    <xdr:to>
      <xdr:col>21</xdr:col>
      <xdr:colOff>220980</xdr:colOff>
      <xdr:row>19</xdr:row>
      <xdr:rowOff>289560</xdr:rowOff>
    </xdr:to>
    <xdr:sp>
      <xdr:nvSpPr>
        <xdr:cNvPr id="14" name="Text Box 16"/>
        <xdr:cNvSpPr txBox="1">
          <a:spLocks noChangeArrowheads="1"/>
        </xdr:cNvSpPr>
      </xdr:nvSpPr>
      <xdr:spPr>
        <a:xfrm>
          <a:off x="5716905" y="4453890"/>
          <a:ext cx="390525" cy="169926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CN" altLang="en-US" sz="14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第一联：存根联</a:t>
          </a:r>
          <a:endParaRPr lang="zh-CN" altLang="en-US" sz="14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0</xdr:col>
      <xdr:colOff>161925</xdr:colOff>
      <xdr:row>26</xdr:row>
      <xdr:rowOff>44450</xdr:rowOff>
    </xdr:from>
    <xdr:to>
      <xdr:col>20</xdr:col>
      <xdr:colOff>38100</xdr:colOff>
      <xdr:row>32</xdr:row>
      <xdr:rowOff>158750</xdr:rowOff>
    </xdr:to>
    <xdr:sp>
      <xdr:nvSpPr>
        <xdr:cNvPr id="15" name="矩形 14"/>
        <xdr:cNvSpPr/>
      </xdr:nvSpPr>
      <xdr:spPr>
        <a:xfrm>
          <a:off x="161925" y="7763510"/>
          <a:ext cx="5564505" cy="2346960"/>
        </a:xfrm>
        <a:prstGeom prst="rect">
          <a:avLst/>
        </a:prstGeom>
        <a:noFill/>
        <a:ln w="25400" cap="flat" cmpd="sng" algn="ctr">
          <a:solidFill>
            <a:srgbClr val="4F81BD">
              <a:shade val="50000"/>
            </a:srgbClr>
          </a:solidFill>
          <a:prstDash val="solid"/>
        </a:ln>
        <a:effectLst/>
      </xdr:spPr>
      <xdr:txBody>
        <a:bodyPr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宋体" panose="02010600030101010101" pitchFamily="7" charset="-122"/>
          </a:endParaRPr>
        </a:p>
      </xdr:txBody>
    </xdr:sp>
    <xdr:clientData/>
  </xdr:twoCellAnchor>
  <xdr:twoCellAnchor editAs="absolute">
    <xdr:from>
      <xdr:col>1</xdr:col>
      <xdr:colOff>0</xdr:colOff>
      <xdr:row>28</xdr:row>
      <xdr:rowOff>127000</xdr:rowOff>
    </xdr:from>
    <xdr:to>
      <xdr:col>20</xdr:col>
      <xdr:colOff>28575</xdr:colOff>
      <xdr:row>28</xdr:row>
      <xdr:rowOff>139700</xdr:rowOff>
    </xdr:to>
    <xdr:cxnSp>
      <xdr:nvCxnSpPr>
        <xdr:cNvPr id="16" name="直接连接符 15"/>
        <xdr:cNvCxnSpPr/>
      </xdr:nvCxnSpPr>
      <xdr:spPr>
        <a:xfrm flipV="1">
          <a:off x="440055" y="8712835"/>
          <a:ext cx="5276850" cy="12700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</xdr:col>
      <xdr:colOff>78105</xdr:colOff>
      <xdr:row>30</xdr:row>
      <xdr:rowOff>53975</xdr:rowOff>
    </xdr:from>
    <xdr:to>
      <xdr:col>20</xdr:col>
      <xdr:colOff>41275</xdr:colOff>
      <xdr:row>30</xdr:row>
      <xdr:rowOff>63500</xdr:rowOff>
    </xdr:to>
    <xdr:cxnSp>
      <xdr:nvCxnSpPr>
        <xdr:cNvPr id="17" name="直接连接符 16"/>
        <xdr:cNvCxnSpPr/>
      </xdr:nvCxnSpPr>
      <xdr:spPr>
        <a:xfrm>
          <a:off x="518160" y="9354185"/>
          <a:ext cx="5211445" cy="952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12</xdr:col>
      <xdr:colOff>101600</xdr:colOff>
      <xdr:row>31</xdr:row>
      <xdr:rowOff>0</xdr:rowOff>
    </xdr:from>
    <xdr:to>
      <xdr:col>20</xdr:col>
      <xdr:colOff>12700</xdr:colOff>
      <xdr:row>31</xdr:row>
      <xdr:rowOff>3176</xdr:rowOff>
    </xdr:to>
    <xdr:cxnSp>
      <xdr:nvCxnSpPr>
        <xdr:cNvPr id="19" name="直接连接符 18"/>
        <xdr:cNvCxnSpPr/>
      </xdr:nvCxnSpPr>
      <xdr:spPr>
        <a:xfrm>
          <a:off x="3853815" y="9738360"/>
          <a:ext cx="1847215" cy="3175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  <xdr:twoCellAnchor editAs="absolute">
    <xdr:from>
      <xdr:col>12</xdr:col>
      <xdr:colOff>219075</xdr:colOff>
      <xdr:row>19</xdr:row>
      <xdr:rowOff>454025</xdr:rowOff>
    </xdr:from>
    <xdr:to>
      <xdr:col>19</xdr:col>
      <xdr:colOff>114300</xdr:colOff>
      <xdr:row>19</xdr:row>
      <xdr:rowOff>454026</xdr:rowOff>
    </xdr:to>
    <xdr:cxnSp>
      <xdr:nvCxnSpPr>
        <xdr:cNvPr id="20" name="直接连接符 19"/>
        <xdr:cNvCxnSpPr/>
      </xdr:nvCxnSpPr>
      <xdr:spPr>
        <a:xfrm>
          <a:off x="3971290" y="6317615"/>
          <a:ext cx="1644015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26</xdr:row>
      <xdr:rowOff>180975</xdr:rowOff>
    </xdr:from>
    <xdr:to>
      <xdr:col>21</xdr:col>
      <xdr:colOff>285750</xdr:colOff>
      <xdr:row>30</xdr:row>
      <xdr:rowOff>218440</xdr:rowOff>
    </xdr:to>
    <xdr:sp>
      <xdr:nvSpPr>
        <xdr:cNvPr id="24" name="Text Box 10"/>
        <xdr:cNvSpPr txBox="1">
          <a:spLocks noChangeArrowheads="1"/>
        </xdr:cNvSpPr>
      </xdr:nvSpPr>
      <xdr:spPr>
        <a:xfrm>
          <a:off x="5783580" y="7900035"/>
          <a:ext cx="388620" cy="161861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91440" tIns="45720" rIns="91440" bIns="4572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zh-CN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+mn-ea"/>
              <a:cs typeface="+mn-cs"/>
            </a:rPr>
            <a:t>第三联：记账</a:t>
          </a:r>
          <a:endParaRPr kumimoji="0" lang="zh-CN" altLang="en-US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1000"/>
          </a:pPr>
          <a:r>
            <a:rPr kumimoji="0" lang="zh-CN" altLang="en-US" sz="1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宋体" panose="02010600030101010101" pitchFamily="7" charset="-122"/>
              <a:ea typeface="+mn-ea"/>
              <a:cs typeface="+mn-cs"/>
            </a:rPr>
            <a:t>联</a:t>
          </a:r>
          <a:endParaRPr kumimoji="0" lang="zh-CN" altLang="en-US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宋体" panose="02010600030101010101" pitchFamily="7" charset="-122"/>
            <a:ea typeface="+mn-ea"/>
            <a:cs typeface="+mn-cs"/>
          </a:endParaRPr>
        </a:p>
        <a:p>
          <a:pPr algn="l" rtl="0">
            <a:defRPr sz="1000"/>
          </a:pPr>
          <a:r>
            <a:rPr lang="zh-CN" altLang="en-US" sz="105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  <a:endParaRPr lang="zh-CN" altLang="en-US" sz="105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</xdr:txBody>
    </xdr:sp>
    <xdr:clientData/>
  </xdr:twoCellAnchor>
  <xdr:twoCellAnchor editAs="absolute">
    <xdr:from>
      <xdr:col>2</xdr:col>
      <xdr:colOff>25400</xdr:colOff>
      <xdr:row>27</xdr:row>
      <xdr:rowOff>63500</xdr:rowOff>
    </xdr:from>
    <xdr:to>
      <xdr:col>20</xdr:col>
      <xdr:colOff>27305</xdr:colOff>
      <xdr:row>27</xdr:row>
      <xdr:rowOff>73024</xdr:rowOff>
    </xdr:to>
    <xdr:cxnSp>
      <xdr:nvCxnSpPr>
        <xdr:cNvPr id="4" name="直接连接符 8"/>
        <xdr:cNvCxnSpPr/>
      </xdr:nvCxnSpPr>
      <xdr:spPr>
        <a:xfrm flipV="1">
          <a:off x="1191895" y="8211185"/>
          <a:ext cx="4523740" cy="8890"/>
        </a:xfrm>
        <a:prstGeom prst="line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"/>
  <sheetViews>
    <sheetView zoomScale="85" zoomScaleNormal="85" workbookViewId="0">
      <selection activeCell="E4" sqref="E4"/>
    </sheetView>
  </sheetViews>
  <sheetFormatPr defaultColWidth="9" defaultRowHeight="20" customHeight="1" outlineLevelRow="1"/>
  <cols>
    <col min="1" max="3" width="42.5" style="54" customWidth="1"/>
    <col min="4" max="4" width="22.3365384615385" style="55" customWidth="1"/>
    <col min="5" max="5" width="27.3365384615385" style="56" customWidth="1"/>
    <col min="6" max="6" width="29.8365384615385" style="56" customWidth="1"/>
    <col min="7" max="8" width="17.1634615384615" style="56" hidden="1" customWidth="1"/>
    <col min="9" max="9" width="19.6634615384615" style="54" hidden="1" customWidth="1"/>
    <col min="10" max="10" width="5.66346153846154" style="55" hidden="1" customWidth="1"/>
    <col min="11" max="11" width="19.3365384615385" style="55" hidden="1" customWidth="1"/>
    <col min="12" max="12" width="32.5" style="54" hidden="1" customWidth="1"/>
    <col min="13" max="13" width="9" style="57"/>
    <col min="14" max="14" width="17.5" style="57" customWidth="1"/>
    <col min="15" max="16384" width="9" style="57"/>
  </cols>
  <sheetData>
    <row r="1" customHeight="1" spans="1:12">
      <c r="A1" s="58" t="s">
        <v>0</v>
      </c>
      <c r="B1" s="58" t="s">
        <v>1</v>
      </c>
      <c r="C1" s="58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21" t="s">
        <v>8</v>
      </c>
      <c r="J1" s="61" t="s">
        <v>9</v>
      </c>
      <c r="K1" s="62" t="s">
        <v>10</v>
      </c>
      <c r="L1" s="59" t="s">
        <v>1</v>
      </c>
    </row>
    <row r="2" customHeight="1" spans="1:12">
      <c r="A2" s="54" t="s">
        <v>11</v>
      </c>
      <c r="B2" s="60" t="s">
        <v>12</v>
      </c>
      <c r="C2" s="60" t="s">
        <v>13</v>
      </c>
      <c r="D2" s="55" t="s">
        <v>14</v>
      </c>
      <c r="E2" s="56" t="s">
        <v>15</v>
      </c>
      <c r="F2" s="56" t="s">
        <v>16</v>
      </c>
      <c r="H2" s="56">
        <v>126295.84</v>
      </c>
      <c r="I2" s="63">
        <v>20240401</v>
      </c>
      <c r="K2" s="64">
        <v>45380</v>
      </c>
      <c r="L2" s="54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Z34"/>
  <sheetViews>
    <sheetView showGridLines="0" tabSelected="1" zoomScalePageLayoutView="80" showWhiteSpace="0" workbookViewId="0">
      <selection activeCell="I36" sqref="I36"/>
    </sheetView>
  </sheetViews>
  <sheetFormatPr defaultColWidth="9" defaultRowHeight="16.8"/>
  <cols>
    <col min="1" max="1" width="6.66346153846154" customWidth="1"/>
    <col min="2" max="2" width="11" customWidth="1"/>
    <col min="3" max="3" width="5.5" customWidth="1"/>
    <col min="4" max="4" width="3.16346153846154" customWidth="1"/>
    <col min="5" max="5" width="4.33653846153846" customWidth="1"/>
    <col min="6" max="6" width="3.16346153846154" customWidth="1"/>
    <col min="7" max="7" width="4" customWidth="1"/>
    <col min="8" max="8" width="3.16346153846154" customWidth="1"/>
    <col min="9" max="9" width="4.16346153846154" customWidth="1"/>
    <col min="10" max="10" width="3.5" customWidth="1"/>
    <col min="11" max="11" width="4.16346153846154" customWidth="1"/>
    <col min="12" max="12" width="4" customWidth="1"/>
    <col min="13" max="13" width="4.16346153846154" customWidth="1"/>
    <col min="14" max="14" width="3.66346153846154" customWidth="1"/>
    <col min="15" max="15" width="4.16346153846154" customWidth="1"/>
    <col min="16" max="16" width="4" customWidth="1"/>
    <col min="17" max="17" width="4.16346153846154" customWidth="1"/>
    <col min="18" max="19" width="3.16346153846154" customWidth="1"/>
    <col min="20" max="20" width="2.83653846153846" customWidth="1"/>
    <col min="21" max="21" width="3" customWidth="1"/>
    <col min="22" max="22" width="5.16346153846154" customWidth="1"/>
    <col min="23" max="23" width="10.3365384615385"/>
    <col min="24" max="26" width="10.5" customWidth="1"/>
  </cols>
  <sheetData>
    <row r="1" ht="27" customHeight="1" spans="1:20">
      <c r="A1" s="28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t="s">
        <v>19</v>
      </c>
      <c r="P1" s="41" t="s">
        <v>20</v>
      </c>
      <c r="Q1" s="46"/>
      <c r="R1" s="46"/>
      <c r="S1" s="46"/>
      <c r="T1" s="46"/>
    </row>
    <row r="2" ht="15" customHeight="1" spans="1:26">
      <c r="A2" s="29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42" t="s">
        <v>22</v>
      </c>
      <c r="O2" s="42"/>
      <c r="P2" s="5" t="s">
        <v>23</v>
      </c>
      <c r="Q2" s="42" t="s">
        <v>24</v>
      </c>
      <c r="R2" s="47" t="s">
        <v>25</v>
      </c>
      <c r="S2" s="48" t="s">
        <v>26</v>
      </c>
      <c r="T2" s="49" t="s">
        <v>27</v>
      </c>
      <c r="U2" s="50"/>
      <c r="Z2" s="53"/>
    </row>
    <row r="3" ht="19.5" customHeight="1"/>
    <row r="4" ht="29.25" customHeight="1" spans="2:20">
      <c r="B4" s="30" t="s">
        <v>28</v>
      </c>
      <c r="C4" s="31" t="s">
        <v>29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</row>
    <row r="5" ht="32.25" customHeight="1" spans="2:20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ht="32.25" customHeight="1" spans="2:20">
      <c r="B6" s="34" t="s">
        <v>30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="27" customFormat="1" ht="24.75" customHeight="1" spans="2:20">
      <c r="B7" s="36" t="s">
        <v>31</v>
      </c>
      <c r="C7" s="36"/>
      <c r="D7" s="36"/>
      <c r="E7" s="36"/>
      <c r="F7" s="36"/>
      <c r="G7" s="36"/>
      <c r="H7" s="36"/>
      <c r="I7" s="36" t="s">
        <v>32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</row>
    <row r="8" ht="28.5" customHeight="1" spans="2:20">
      <c r="B8" s="37" t="s">
        <v>33</v>
      </c>
      <c r="C8" s="37"/>
      <c r="D8" s="37"/>
      <c r="E8" s="37"/>
      <c r="F8" s="37"/>
      <c r="G8" s="37"/>
      <c r="H8" s="37"/>
      <c r="I8" s="37"/>
      <c r="J8" s="37"/>
      <c r="K8" s="37"/>
      <c r="L8" s="40"/>
      <c r="M8" s="43" t="s">
        <v>34</v>
      </c>
      <c r="N8" s="44" t="s">
        <v>35</v>
      </c>
      <c r="O8" s="45"/>
      <c r="P8" s="45"/>
      <c r="Q8" s="45"/>
      <c r="R8" s="45"/>
      <c r="S8" s="45"/>
      <c r="T8" s="45"/>
    </row>
    <row r="10" ht="25.5" customHeight="1" spans="1:20">
      <c r="A10" s="3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R10" s="5"/>
      <c r="S10" s="5"/>
      <c r="T10" s="5"/>
    </row>
    <row r="11" spans="1:20">
      <c r="A11" s="38" t="s">
        <v>36</v>
      </c>
      <c r="C11" t="s">
        <v>37</v>
      </c>
      <c r="D11" s="5" t="s">
        <v>38</v>
      </c>
      <c r="E11" s="5"/>
      <c r="F11" s="5" t="s">
        <v>39</v>
      </c>
      <c r="G11" s="5"/>
      <c r="H11" s="5"/>
      <c r="I11" s="5"/>
      <c r="J11" s="5"/>
      <c r="K11" s="5" t="s">
        <v>40</v>
      </c>
      <c r="L11" s="5"/>
      <c r="M11" s="5" t="s">
        <v>41</v>
      </c>
      <c r="N11" s="5"/>
      <c r="O11" s="5"/>
      <c r="P11" t="s">
        <v>42</v>
      </c>
      <c r="R11" s="5"/>
      <c r="S11" s="5"/>
      <c r="T11" s="5"/>
    </row>
    <row r="13" ht="27" customHeight="1" spans="1:20">
      <c r="A13" s="28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t="s">
        <v>19</v>
      </c>
      <c r="P13" s="41" t="s">
        <v>20</v>
      </c>
      <c r="Q13" s="46"/>
      <c r="R13" s="46"/>
      <c r="S13" s="46"/>
      <c r="T13" s="46"/>
    </row>
    <row r="14" ht="15" customHeight="1" spans="1:26">
      <c r="A14" s="29" t="s">
        <v>21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42" t="s">
        <v>22</v>
      </c>
      <c r="O14" s="42"/>
      <c r="P14" s="5" t="s">
        <v>23</v>
      </c>
      <c r="Q14" s="42" t="s">
        <v>24</v>
      </c>
      <c r="R14" s="47" t="s">
        <v>25</v>
      </c>
      <c r="S14" s="48" t="s">
        <v>26</v>
      </c>
      <c r="T14" s="49" t="s">
        <v>27</v>
      </c>
      <c r="U14" s="50"/>
      <c r="Z14" s="53"/>
    </row>
    <row r="16" ht="24.75" customHeight="1" spans="2:22">
      <c r="B16" s="30" t="s">
        <v>28</v>
      </c>
      <c r="C16" s="31" t="s">
        <v>29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51"/>
      <c r="V16" s="51"/>
    </row>
    <row r="17" ht="33.75" customHeight="1" spans="2:22">
      <c r="B17" s="34" t="s">
        <v>30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51"/>
      <c r="V17" s="51"/>
    </row>
    <row r="18" ht="33.75" customHeight="1" spans="2:22"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51"/>
      <c r="V18" s="51"/>
    </row>
    <row r="19" ht="26.25" customHeight="1" spans="1:22">
      <c r="A19" s="27"/>
      <c r="B19" s="36" t="s">
        <v>31</v>
      </c>
      <c r="C19" s="36"/>
      <c r="D19" s="36"/>
      <c r="E19" s="36"/>
      <c r="F19" s="36"/>
      <c r="G19" s="36"/>
      <c r="H19" s="36"/>
      <c r="I19" s="36" t="s">
        <v>32</v>
      </c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51"/>
      <c r="V19" s="51"/>
    </row>
    <row r="20" ht="42" customHeight="1" spans="2:22">
      <c r="B20" s="37" t="s">
        <v>33</v>
      </c>
      <c r="C20" s="37"/>
      <c r="D20" s="37"/>
      <c r="E20" s="37"/>
      <c r="F20" s="37"/>
      <c r="G20" s="37"/>
      <c r="H20" s="37"/>
      <c r="I20" s="37"/>
      <c r="J20" s="37"/>
      <c r="K20" s="37"/>
      <c r="L20" s="40"/>
      <c r="M20" s="43" t="s">
        <v>34</v>
      </c>
      <c r="N20" s="44" t="s">
        <v>35</v>
      </c>
      <c r="O20" s="45"/>
      <c r="P20" s="45"/>
      <c r="Q20" s="45"/>
      <c r="R20" s="45"/>
      <c r="S20" s="45"/>
      <c r="T20" s="45"/>
      <c r="U20" s="51"/>
      <c r="V20" s="51"/>
    </row>
    <row r="22" spans="1:20">
      <c r="A22" s="38" t="s">
        <v>36</v>
      </c>
      <c r="C22" t="s">
        <v>37</v>
      </c>
      <c r="D22" s="5" t="str">
        <f>D11</f>
        <v>郑曦</v>
      </c>
      <c r="E22" s="5"/>
      <c r="F22" s="5" t="s">
        <v>39</v>
      </c>
      <c r="G22" s="5"/>
      <c r="H22" s="5"/>
      <c r="I22" s="5"/>
      <c r="J22" s="5"/>
      <c r="K22" s="5" t="s">
        <v>40</v>
      </c>
      <c r="L22" s="5"/>
      <c r="M22" s="5" t="str">
        <f>M11</f>
        <v>王诗岚</v>
      </c>
      <c r="N22" s="5"/>
      <c r="O22" s="5"/>
      <c r="P22" t="s">
        <v>42</v>
      </c>
      <c r="R22" s="5"/>
      <c r="S22" s="5"/>
      <c r="T22" s="5"/>
    </row>
    <row r="23" ht="14.25" customHeight="1" spans="2:2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ht="27" customHeight="1" spans="1:20">
      <c r="A24" s="28" t="s">
        <v>18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t="s">
        <v>19</v>
      </c>
      <c r="P24" s="41" t="s">
        <v>20</v>
      </c>
      <c r="Q24" s="46"/>
      <c r="R24" s="46"/>
      <c r="S24" s="46"/>
      <c r="T24" s="46"/>
    </row>
    <row r="25" ht="15" customHeight="1" spans="1:26">
      <c r="A25" s="29" t="s">
        <v>21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42" t="s">
        <v>22</v>
      </c>
      <c r="O25" s="42"/>
      <c r="P25" s="5" t="s">
        <v>23</v>
      </c>
      <c r="Q25" s="42" t="s">
        <v>24</v>
      </c>
      <c r="R25" s="47" t="s">
        <v>25</v>
      </c>
      <c r="S25" s="48" t="s">
        <v>26</v>
      </c>
      <c r="T25" s="49" t="s">
        <v>27</v>
      </c>
      <c r="U25" s="50"/>
      <c r="Z25" s="53"/>
    </row>
    <row r="26" ht="14.25" customHeight="1"/>
    <row r="27" ht="33.75" customHeight="1" spans="2:22">
      <c r="B27" s="30" t="s">
        <v>28</v>
      </c>
      <c r="C27" s="31" t="s">
        <v>29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V27" s="52"/>
    </row>
    <row r="28" ht="34.5" customHeight="1" spans="2:20">
      <c r="B28" s="34" t="s">
        <v>30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ht="34.5" customHeight="1" spans="2:20"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</row>
    <row r="30" ht="21.75" customHeight="1" spans="1:20">
      <c r="A30" s="27"/>
      <c r="B30" s="36" t="s">
        <v>31</v>
      </c>
      <c r="C30" s="36"/>
      <c r="D30" s="36"/>
      <c r="E30" s="36"/>
      <c r="F30" s="36"/>
      <c r="G30" s="36"/>
      <c r="H30" s="36"/>
      <c r="I30" s="36" t="s">
        <v>32</v>
      </c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ht="34.5" customHeight="1" spans="2:20">
      <c r="B31" s="37" t="s">
        <v>33</v>
      </c>
      <c r="C31" s="37"/>
      <c r="D31" s="37"/>
      <c r="E31" s="37"/>
      <c r="F31" s="37"/>
      <c r="G31" s="37"/>
      <c r="H31" s="37"/>
      <c r="I31" s="37"/>
      <c r="J31" s="37"/>
      <c r="K31" s="37"/>
      <c r="L31" s="40"/>
      <c r="M31" s="43" t="s">
        <v>34</v>
      </c>
      <c r="N31" s="44" t="s">
        <v>35</v>
      </c>
      <c r="O31" s="45"/>
      <c r="P31" s="45"/>
      <c r="Q31" s="45"/>
      <c r="R31" s="45"/>
      <c r="S31" s="45"/>
      <c r="T31" s="45"/>
    </row>
    <row r="33" spans="18:20">
      <c r="R33" s="5"/>
      <c r="S33" s="5"/>
      <c r="T33" s="5"/>
    </row>
    <row r="34" spans="1:16">
      <c r="A34" s="38" t="s">
        <v>36</v>
      </c>
      <c r="C34" t="s">
        <v>37</v>
      </c>
      <c r="D34" s="5" t="str">
        <f>D22</f>
        <v>郑曦</v>
      </c>
      <c r="E34" s="5"/>
      <c r="F34" s="5" t="s">
        <v>39</v>
      </c>
      <c r="G34" s="5"/>
      <c r="H34" s="5"/>
      <c r="I34" s="5"/>
      <c r="J34" s="5"/>
      <c r="K34" s="5" t="s">
        <v>40</v>
      </c>
      <c r="L34" s="5"/>
      <c r="M34" s="5" t="str">
        <f>M22</f>
        <v>王诗岚</v>
      </c>
      <c r="N34" s="5"/>
      <c r="O34" s="5"/>
      <c r="P34" t="s">
        <v>42</v>
      </c>
    </row>
  </sheetData>
  <sheetProtection selectLockedCells="1"/>
  <mergeCells count="49">
    <mergeCell ref="A1:N1"/>
    <mergeCell ref="A2:M2"/>
    <mergeCell ref="N2:O2"/>
    <mergeCell ref="C4:T4"/>
    <mergeCell ref="B5:T5"/>
    <mergeCell ref="B6:T6"/>
    <mergeCell ref="B8:K8"/>
    <mergeCell ref="N8:T8"/>
    <mergeCell ref="D10:E10"/>
    <mergeCell ref="F10:G10"/>
    <mergeCell ref="H10:J10"/>
    <mergeCell ref="K10:L10"/>
    <mergeCell ref="M10:O10"/>
    <mergeCell ref="R10:T10"/>
    <mergeCell ref="D11:E11"/>
    <mergeCell ref="F11:G11"/>
    <mergeCell ref="H11:J11"/>
    <mergeCell ref="K11:L11"/>
    <mergeCell ref="M11:O11"/>
    <mergeCell ref="R11:T11"/>
    <mergeCell ref="A13:N13"/>
    <mergeCell ref="A14:M14"/>
    <mergeCell ref="N14:O14"/>
    <mergeCell ref="C16:T16"/>
    <mergeCell ref="B17:T17"/>
    <mergeCell ref="B18:T18"/>
    <mergeCell ref="B20:K20"/>
    <mergeCell ref="N20:T20"/>
    <mergeCell ref="D22:E22"/>
    <mergeCell ref="F22:G22"/>
    <mergeCell ref="H22:J22"/>
    <mergeCell ref="K22:L22"/>
    <mergeCell ref="M22:O22"/>
    <mergeCell ref="R22:T22"/>
    <mergeCell ref="A24:N24"/>
    <mergeCell ref="A25:M25"/>
    <mergeCell ref="N25:O25"/>
    <mergeCell ref="C27:T27"/>
    <mergeCell ref="B28:T28"/>
    <mergeCell ref="B29:T29"/>
    <mergeCell ref="B31:K31"/>
    <mergeCell ref="N31:T31"/>
    <mergeCell ref="R33:T33"/>
    <mergeCell ref="D34:E34"/>
    <mergeCell ref="F34:G34"/>
    <mergeCell ref="H34:J34"/>
    <mergeCell ref="K34:L34"/>
    <mergeCell ref="M34:O34"/>
    <mergeCell ref="U16:V20"/>
  </mergeCells>
  <printOptions horizontalCentered="1"/>
  <pageMargins left="0.196527777777778" right="0.196527777777778" top="0.393055555555556" bottom="0.393055555555556" header="0" footer="0"/>
  <pageSetup paperSize="9" scale="9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37"/>
  <sheetViews>
    <sheetView workbookViewId="0">
      <selection activeCell="A65" sqref="A65"/>
    </sheetView>
  </sheetViews>
  <sheetFormatPr defaultColWidth="9" defaultRowHeight="16.8"/>
  <cols>
    <col min="1" max="1" width="63.1634615384615" style="4" customWidth="1"/>
    <col min="2" max="2" width="21.3365384615385" style="5" customWidth="1"/>
    <col min="3" max="3" width="17.1634615384615" style="5" customWidth="1"/>
    <col min="4" max="4" width="18.3365384615385" style="6" customWidth="1"/>
    <col min="5" max="5" width="19.3365384615385" style="5" customWidth="1"/>
    <col min="6" max="6" width="14.3365384615385" style="7" customWidth="1"/>
    <col min="7" max="7" width="14.1634615384615" style="5" customWidth="1"/>
    <col min="8" max="8" width="13.8365384615385" customWidth="1"/>
    <col min="9" max="9" width="13.3365384615385" customWidth="1"/>
    <col min="10" max="10" width="10.5" customWidth="1"/>
    <col min="248" max="248" width="14" customWidth="1"/>
    <col min="249" max="249" width="35.3365384615385" customWidth="1"/>
    <col min="250" max="250" width="20.1634615384615" customWidth="1"/>
    <col min="251" max="251" width="24.6634615384615" customWidth="1"/>
    <col min="252" max="252" width="20.5" customWidth="1"/>
    <col min="504" max="504" width="14" customWidth="1"/>
    <col min="505" max="505" width="35.3365384615385" customWidth="1"/>
    <col min="506" max="506" width="20.1634615384615" customWidth="1"/>
    <col min="507" max="507" width="24.6634615384615" customWidth="1"/>
    <col min="508" max="508" width="20.5" customWidth="1"/>
    <col min="760" max="760" width="14" customWidth="1"/>
    <col min="761" max="761" width="35.3365384615385" customWidth="1"/>
    <col min="762" max="762" width="20.1634615384615" customWidth="1"/>
    <col min="763" max="763" width="24.6634615384615" customWidth="1"/>
    <col min="764" max="764" width="20.5" customWidth="1"/>
    <col min="1016" max="1016" width="14" customWidth="1"/>
    <col min="1017" max="1017" width="35.3365384615385" customWidth="1"/>
    <col min="1018" max="1018" width="20.1634615384615" customWidth="1"/>
    <col min="1019" max="1019" width="24.6634615384615" customWidth="1"/>
    <col min="1020" max="1020" width="20.5" customWidth="1"/>
    <col min="1272" max="1272" width="14" customWidth="1"/>
    <col min="1273" max="1273" width="35.3365384615385" customWidth="1"/>
    <col min="1274" max="1274" width="20.1634615384615" customWidth="1"/>
    <col min="1275" max="1275" width="24.6634615384615" customWidth="1"/>
    <col min="1276" max="1276" width="20.5" customWidth="1"/>
    <col min="1528" max="1528" width="14" customWidth="1"/>
    <col min="1529" max="1529" width="35.3365384615385" customWidth="1"/>
    <col min="1530" max="1530" width="20.1634615384615" customWidth="1"/>
    <col min="1531" max="1531" width="24.6634615384615" customWidth="1"/>
    <col min="1532" max="1532" width="20.5" customWidth="1"/>
    <col min="1784" max="1784" width="14" customWidth="1"/>
    <col min="1785" max="1785" width="35.3365384615385" customWidth="1"/>
    <col min="1786" max="1786" width="20.1634615384615" customWidth="1"/>
    <col min="1787" max="1787" width="24.6634615384615" customWidth="1"/>
    <col min="1788" max="1788" width="20.5" customWidth="1"/>
    <col min="2040" max="2040" width="14" customWidth="1"/>
    <col min="2041" max="2041" width="35.3365384615385" customWidth="1"/>
    <col min="2042" max="2042" width="20.1634615384615" customWidth="1"/>
    <col min="2043" max="2043" width="24.6634615384615" customWidth="1"/>
    <col min="2044" max="2044" width="20.5" customWidth="1"/>
    <col min="2296" max="2296" width="14" customWidth="1"/>
    <col min="2297" max="2297" width="35.3365384615385" customWidth="1"/>
    <col min="2298" max="2298" width="20.1634615384615" customWidth="1"/>
    <col min="2299" max="2299" width="24.6634615384615" customWidth="1"/>
    <col min="2300" max="2300" width="20.5" customWidth="1"/>
    <col min="2552" max="2552" width="14" customWidth="1"/>
    <col min="2553" max="2553" width="35.3365384615385" customWidth="1"/>
    <col min="2554" max="2554" width="20.1634615384615" customWidth="1"/>
    <col min="2555" max="2555" width="24.6634615384615" customWidth="1"/>
    <col min="2556" max="2556" width="20.5" customWidth="1"/>
    <col min="2808" max="2808" width="14" customWidth="1"/>
    <col min="2809" max="2809" width="35.3365384615385" customWidth="1"/>
    <col min="2810" max="2810" width="20.1634615384615" customWidth="1"/>
    <col min="2811" max="2811" width="24.6634615384615" customWidth="1"/>
    <col min="2812" max="2812" width="20.5" customWidth="1"/>
    <col min="3064" max="3064" width="14" customWidth="1"/>
    <col min="3065" max="3065" width="35.3365384615385" customWidth="1"/>
    <col min="3066" max="3066" width="20.1634615384615" customWidth="1"/>
    <col min="3067" max="3067" width="24.6634615384615" customWidth="1"/>
    <col min="3068" max="3068" width="20.5" customWidth="1"/>
    <col min="3320" max="3320" width="14" customWidth="1"/>
    <col min="3321" max="3321" width="35.3365384615385" customWidth="1"/>
    <col min="3322" max="3322" width="20.1634615384615" customWidth="1"/>
    <col min="3323" max="3323" width="24.6634615384615" customWidth="1"/>
    <col min="3324" max="3324" width="20.5" customWidth="1"/>
    <col min="3576" max="3576" width="14" customWidth="1"/>
    <col min="3577" max="3577" width="35.3365384615385" customWidth="1"/>
    <col min="3578" max="3578" width="20.1634615384615" customWidth="1"/>
    <col min="3579" max="3579" width="24.6634615384615" customWidth="1"/>
    <col min="3580" max="3580" width="20.5" customWidth="1"/>
    <col min="3832" max="3832" width="14" customWidth="1"/>
    <col min="3833" max="3833" width="35.3365384615385" customWidth="1"/>
    <col min="3834" max="3834" width="20.1634615384615" customWidth="1"/>
    <col min="3835" max="3835" width="24.6634615384615" customWidth="1"/>
    <col min="3836" max="3836" width="20.5" customWidth="1"/>
    <col min="4088" max="4088" width="14" customWidth="1"/>
    <col min="4089" max="4089" width="35.3365384615385" customWidth="1"/>
    <col min="4090" max="4090" width="20.1634615384615" customWidth="1"/>
    <col min="4091" max="4091" width="24.6634615384615" customWidth="1"/>
    <col min="4092" max="4092" width="20.5" customWidth="1"/>
    <col min="4344" max="4344" width="14" customWidth="1"/>
    <col min="4345" max="4345" width="35.3365384615385" customWidth="1"/>
    <col min="4346" max="4346" width="20.1634615384615" customWidth="1"/>
    <col min="4347" max="4347" width="24.6634615384615" customWidth="1"/>
    <col min="4348" max="4348" width="20.5" customWidth="1"/>
    <col min="4600" max="4600" width="14" customWidth="1"/>
    <col min="4601" max="4601" width="35.3365384615385" customWidth="1"/>
    <col min="4602" max="4602" width="20.1634615384615" customWidth="1"/>
    <col min="4603" max="4603" width="24.6634615384615" customWidth="1"/>
    <col min="4604" max="4604" width="20.5" customWidth="1"/>
    <col min="4856" max="4856" width="14" customWidth="1"/>
    <col min="4857" max="4857" width="35.3365384615385" customWidth="1"/>
    <col min="4858" max="4858" width="20.1634615384615" customWidth="1"/>
    <col min="4859" max="4859" width="24.6634615384615" customWidth="1"/>
    <col min="4860" max="4860" width="20.5" customWidth="1"/>
    <col min="5112" max="5112" width="14" customWidth="1"/>
    <col min="5113" max="5113" width="35.3365384615385" customWidth="1"/>
    <col min="5114" max="5114" width="20.1634615384615" customWidth="1"/>
    <col min="5115" max="5115" width="24.6634615384615" customWidth="1"/>
    <col min="5116" max="5116" width="20.5" customWidth="1"/>
    <col min="5368" max="5368" width="14" customWidth="1"/>
    <col min="5369" max="5369" width="35.3365384615385" customWidth="1"/>
    <col min="5370" max="5370" width="20.1634615384615" customWidth="1"/>
    <col min="5371" max="5371" width="24.6634615384615" customWidth="1"/>
    <col min="5372" max="5372" width="20.5" customWidth="1"/>
    <col min="5624" max="5624" width="14" customWidth="1"/>
    <col min="5625" max="5625" width="35.3365384615385" customWidth="1"/>
    <col min="5626" max="5626" width="20.1634615384615" customWidth="1"/>
    <col min="5627" max="5627" width="24.6634615384615" customWidth="1"/>
    <col min="5628" max="5628" width="20.5" customWidth="1"/>
    <col min="5880" max="5880" width="14" customWidth="1"/>
    <col min="5881" max="5881" width="35.3365384615385" customWidth="1"/>
    <col min="5882" max="5882" width="20.1634615384615" customWidth="1"/>
    <col min="5883" max="5883" width="24.6634615384615" customWidth="1"/>
    <col min="5884" max="5884" width="20.5" customWidth="1"/>
    <col min="6136" max="6136" width="14" customWidth="1"/>
    <col min="6137" max="6137" width="35.3365384615385" customWidth="1"/>
    <col min="6138" max="6138" width="20.1634615384615" customWidth="1"/>
    <col min="6139" max="6139" width="24.6634615384615" customWidth="1"/>
    <col min="6140" max="6140" width="20.5" customWidth="1"/>
    <col min="6392" max="6392" width="14" customWidth="1"/>
    <col min="6393" max="6393" width="35.3365384615385" customWidth="1"/>
    <col min="6394" max="6394" width="20.1634615384615" customWidth="1"/>
    <col min="6395" max="6395" width="24.6634615384615" customWidth="1"/>
    <col min="6396" max="6396" width="20.5" customWidth="1"/>
    <col min="6648" max="6648" width="14" customWidth="1"/>
    <col min="6649" max="6649" width="35.3365384615385" customWidth="1"/>
    <col min="6650" max="6650" width="20.1634615384615" customWidth="1"/>
    <col min="6651" max="6651" width="24.6634615384615" customWidth="1"/>
    <col min="6652" max="6652" width="20.5" customWidth="1"/>
    <col min="6904" max="6904" width="14" customWidth="1"/>
    <col min="6905" max="6905" width="35.3365384615385" customWidth="1"/>
    <col min="6906" max="6906" width="20.1634615384615" customWidth="1"/>
    <col min="6907" max="6907" width="24.6634615384615" customWidth="1"/>
    <col min="6908" max="6908" width="20.5" customWidth="1"/>
    <col min="7160" max="7160" width="14" customWidth="1"/>
    <col min="7161" max="7161" width="35.3365384615385" customWidth="1"/>
    <col min="7162" max="7162" width="20.1634615384615" customWidth="1"/>
    <col min="7163" max="7163" width="24.6634615384615" customWidth="1"/>
    <col min="7164" max="7164" width="20.5" customWidth="1"/>
    <col min="7416" max="7416" width="14" customWidth="1"/>
    <col min="7417" max="7417" width="35.3365384615385" customWidth="1"/>
    <col min="7418" max="7418" width="20.1634615384615" customWidth="1"/>
    <col min="7419" max="7419" width="24.6634615384615" customWidth="1"/>
    <col min="7420" max="7420" width="20.5" customWidth="1"/>
    <col min="7672" max="7672" width="14" customWidth="1"/>
    <col min="7673" max="7673" width="35.3365384615385" customWidth="1"/>
    <col min="7674" max="7674" width="20.1634615384615" customWidth="1"/>
    <col min="7675" max="7675" width="24.6634615384615" customWidth="1"/>
    <col min="7676" max="7676" width="20.5" customWidth="1"/>
    <col min="7928" max="7928" width="14" customWidth="1"/>
    <col min="7929" max="7929" width="35.3365384615385" customWidth="1"/>
    <col min="7930" max="7930" width="20.1634615384615" customWidth="1"/>
    <col min="7931" max="7931" width="24.6634615384615" customWidth="1"/>
    <col min="7932" max="7932" width="20.5" customWidth="1"/>
    <col min="8184" max="8184" width="14" customWidth="1"/>
    <col min="8185" max="8185" width="35.3365384615385" customWidth="1"/>
    <col min="8186" max="8186" width="20.1634615384615" customWidth="1"/>
    <col min="8187" max="8187" width="24.6634615384615" customWidth="1"/>
    <col min="8188" max="8188" width="20.5" customWidth="1"/>
    <col min="8440" max="8440" width="14" customWidth="1"/>
    <col min="8441" max="8441" width="35.3365384615385" customWidth="1"/>
    <col min="8442" max="8442" width="20.1634615384615" customWidth="1"/>
    <col min="8443" max="8443" width="24.6634615384615" customWidth="1"/>
    <col min="8444" max="8444" width="20.5" customWidth="1"/>
    <col min="8696" max="8696" width="14" customWidth="1"/>
    <col min="8697" max="8697" width="35.3365384615385" customWidth="1"/>
    <col min="8698" max="8698" width="20.1634615384615" customWidth="1"/>
    <col min="8699" max="8699" width="24.6634615384615" customWidth="1"/>
    <col min="8700" max="8700" width="20.5" customWidth="1"/>
    <col min="8952" max="8952" width="14" customWidth="1"/>
    <col min="8953" max="8953" width="35.3365384615385" customWidth="1"/>
    <col min="8954" max="8954" width="20.1634615384615" customWidth="1"/>
    <col min="8955" max="8955" width="24.6634615384615" customWidth="1"/>
    <col min="8956" max="8956" width="20.5" customWidth="1"/>
    <col min="9208" max="9208" width="14" customWidth="1"/>
    <col min="9209" max="9209" width="35.3365384615385" customWidth="1"/>
    <col min="9210" max="9210" width="20.1634615384615" customWidth="1"/>
    <col min="9211" max="9211" width="24.6634615384615" customWidth="1"/>
    <col min="9212" max="9212" width="20.5" customWidth="1"/>
    <col min="9464" max="9464" width="14" customWidth="1"/>
    <col min="9465" max="9465" width="35.3365384615385" customWidth="1"/>
    <col min="9466" max="9466" width="20.1634615384615" customWidth="1"/>
    <col min="9467" max="9467" width="24.6634615384615" customWidth="1"/>
    <col min="9468" max="9468" width="20.5" customWidth="1"/>
    <col min="9720" max="9720" width="14" customWidth="1"/>
    <col min="9721" max="9721" width="35.3365384615385" customWidth="1"/>
    <col min="9722" max="9722" width="20.1634615384615" customWidth="1"/>
    <col min="9723" max="9723" width="24.6634615384615" customWidth="1"/>
    <col min="9724" max="9724" width="20.5" customWidth="1"/>
    <col min="9976" max="9976" width="14" customWidth="1"/>
    <col min="9977" max="9977" width="35.3365384615385" customWidth="1"/>
    <col min="9978" max="9978" width="20.1634615384615" customWidth="1"/>
    <col min="9979" max="9979" width="24.6634615384615" customWidth="1"/>
    <col min="9980" max="9980" width="20.5" customWidth="1"/>
    <col min="10232" max="10232" width="14" customWidth="1"/>
    <col min="10233" max="10233" width="35.3365384615385" customWidth="1"/>
    <col min="10234" max="10234" width="20.1634615384615" customWidth="1"/>
    <col min="10235" max="10235" width="24.6634615384615" customWidth="1"/>
    <col min="10236" max="10236" width="20.5" customWidth="1"/>
    <col min="10488" max="10488" width="14" customWidth="1"/>
    <col min="10489" max="10489" width="35.3365384615385" customWidth="1"/>
    <col min="10490" max="10490" width="20.1634615384615" customWidth="1"/>
    <col min="10491" max="10491" width="24.6634615384615" customWidth="1"/>
    <col min="10492" max="10492" width="20.5" customWidth="1"/>
    <col min="10744" max="10744" width="14" customWidth="1"/>
    <col min="10745" max="10745" width="35.3365384615385" customWidth="1"/>
    <col min="10746" max="10746" width="20.1634615384615" customWidth="1"/>
    <col min="10747" max="10747" width="24.6634615384615" customWidth="1"/>
    <col min="10748" max="10748" width="20.5" customWidth="1"/>
    <col min="11000" max="11000" width="14" customWidth="1"/>
    <col min="11001" max="11001" width="35.3365384615385" customWidth="1"/>
    <col min="11002" max="11002" width="20.1634615384615" customWidth="1"/>
    <col min="11003" max="11003" width="24.6634615384615" customWidth="1"/>
    <col min="11004" max="11004" width="20.5" customWidth="1"/>
    <col min="11256" max="11256" width="14" customWidth="1"/>
    <col min="11257" max="11257" width="35.3365384615385" customWidth="1"/>
    <col min="11258" max="11258" width="20.1634615384615" customWidth="1"/>
    <col min="11259" max="11259" width="24.6634615384615" customWidth="1"/>
    <col min="11260" max="11260" width="20.5" customWidth="1"/>
    <col min="11512" max="11512" width="14" customWidth="1"/>
    <col min="11513" max="11513" width="35.3365384615385" customWidth="1"/>
    <col min="11514" max="11514" width="20.1634615384615" customWidth="1"/>
    <col min="11515" max="11515" width="24.6634615384615" customWidth="1"/>
    <col min="11516" max="11516" width="20.5" customWidth="1"/>
    <col min="11768" max="11768" width="14" customWidth="1"/>
    <col min="11769" max="11769" width="35.3365384615385" customWidth="1"/>
    <col min="11770" max="11770" width="20.1634615384615" customWidth="1"/>
    <col min="11771" max="11771" width="24.6634615384615" customWidth="1"/>
    <col min="11772" max="11772" width="20.5" customWidth="1"/>
    <col min="12024" max="12024" width="14" customWidth="1"/>
    <col min="12025" max="12025" width="35.3365384615385" customWidth="1"/>
    <col min="12026" max="12026" width="20.1634615384615" customWidth="1"/>
    <col min="12027" max="12027" width="24.6634615384615" customWidth="1"/>
    <col min="12028" max="12028" width="20.5" customWidth="1"/>
    <col min="12280" max="12280" width="14" customWidth="1"/>
    <col min="12281" max="12281" width="35.3365384615385" customWidth="1"/>
    <col min="12282" max="12282" width="20.1634615384615" customWidth="1"/>
    <col min="12283" max="12283" width="24.6634615384615" customWidth="1"/>
    <col min="12284" max="12284" width="20.5" customWidth="1"/>
    <col min="12536" max="12536" width="14" customWidth="1"/>
    <col min="12537" max="12537" width="35.3365384615385" customWidth="1"/>
    <col min="12538" max="12538" width="20.1634615384615" customWidth="1"/>
    <col min="12539" max="12539" width="24.6634615384615" customWidth="1"/>
    <col min="12540" max="12540" width="20.5" customWidth="1"/>
    <col min="12792" max="12792" width="14" customWidth="1"/>
    <col min="12793" max="12793" width="35.3365384615385" customWidth="1"/>
    <col min="12794" max="12794" width="20.1634615384615" customWidth="1"/>
    <col min="12795" max="12795" width="24.6634615384615" customWidth="1"/>
    <col min="12796" max="12796" width="20.5" customWidth="1"/>
    <col min="13048" max="13048" width="14" customWidth="1"/>
    <col min="13049" max="13049" width="35.3365384615385" customWidth="1"/>
    <col min="13050" max="13050" width="20.1634615384615" customWidth="1"/>
    <col min="13051" max="13051" width="24.6634615384615" customWidth="1"/>
    <col min="13052" max="13052" width="20.5" customWidth="1"/>
    <col min="13304" max="13304" width="14" customWidth="1"/>
    <col min="13305" max="13305" width="35.3365384615385" customWidth="1"/>
    <col min="13306" max="13306" width="20.1634615384615" customWidth="1"/>
    <col min="13307" max="13307" width="24.6634615384615" customWidth="1"/>
    <col min="13308" max="13308" width="20.5" customWidth="1"/>
    <col min="13560" max="13560" width="14" customWidth="1"/>
    <col min="13561" max="13561" width="35.3365384615385" customWidth="1"/>
    <col min="13562" max="13562" width="20.1634615384615" customWidth="1"/>
    <col min="13563" max="13563" width="24.6634615384615" customWidth="1"/>
    <col min="13564" max="13564" width="20.5" customWidth="1"/>
    <col min="13816" max="13816" width="14" customWidth="1"/>
    <col min="13817" max="13817" width="35.3365384615385" customWidth="1"/>
    <col min="13818" max="13818" width="20.1634615384615" customWidth="1"/>
    <col min="13819" max="13819" width="24.6634615384615" customWidth="1"/>
    <col min="13820" max="13820" width="20.5" customWidth="1"/>
    <col min="14072" max="14072" width="14" customWidth="1"/>
    <col min="14073" max="14073" width="35.3365384615385" customWidth="1"/>
    <col min="14074" max="14074" width="20.1634615384615" customWidth="1"/>
    <col min="14075" max="14075" width="24.6634615384615" customWidth="1"/>
    <col min="14076" max="14076" width="20.5" customWidth="1"/>
    <col min="14328" max="14328" width="14" customWidth="1"/>
    <col min="14329" max="14329" width="35.3365384615385" customWidth="1"/>
    <col min="14330" max="14330" width="20.1634615384615" customWidth="1"/>
    <col min="14331" max="14331" width="24.6634615384615" customWidth="1"/>
    <col min="14332" max="14332" width="20.5" customWidth="1"/>
    <col min="14584" max="14584" width="14" customWidth="1"/>
    <col min="14585" max="14585" width="35.3365384615385" customWidth="1"/>
    <col min="14586" max="14586" width="20.1634615384615" customWidth="1"/>
    <col min="14587" max="14587" width="24.6634615384615" customWidth="1"/>
    <col min="14588" max="14588" width="20.5" customWidth="1"/>
    <col min="14840" max="14840" width="14" customWidth="1"/>
    <col min="14841" max="14841" width="35.3365384615385" customWidth="1"/>
    <col min="14842" max="14842" width="20.1634615384615" customWidth="1"/>
    <col min="14843" max="14843" width="24.6634615384615" customWidth="1"/>
    <col min="14844" max="14844" width="20.5" customWidth="1"/>
    <col min="15096" max="15096" width="14" customWidth="1"/>
    <col min="15097" max="15097" width="35.3365384615385" customWidth="1"/>
    <col min="15098" max="15098" width="20.1634615384615" customWidth="1"/>
    <col min="15099" max="15099" width="24.6634615384615" customWidth="1"/>
    <col min="15100" max="15100" width="20.5" customWidth="1"/>
    <col min="15352" max="15352" width="14" customWidth="1"/>
    <col min="15353" max="15353" width="35.3365384615385" customWidth="1"/>
    <col min="15354" max="15354" width="20.1634615384615" customWidth="1"/>
    <col min="15355" max="15355" width="24.6634615384615" customWidth="1"/>
    <col min="15356" max="15356" width="20.5" customWidth="1"/>
    <col min="15608" max="15608" width="14" customWidth="1"/>
    <col min="15609" max="15609" width="35.3365384615385" customWidth="1"/>
    <col min="15610" max="15610" width="20.1634615384615" customWidth="1"/>
    <col min="15611" max="15611" width="24.6634615384615" customWidth="1"/>
    <col min="15612" max="15612" width="20.5" customWidth="1"/>
    <col min="15864" max="15864" width="14" customWidth="1"/>
    <col min="15865" max="15865" width="35.3365384615385" customWidth="1"/>
    <col min="15866" max="15866" width="20.1634615384615" customWidth="1"/>
    <col min="15867" max="15867" width="24.6634615384615" customWidth="1"/>
    <col min="15868" max="15868" width="20.5" customWidth="1"/>
    <col min="16120" max="16120" width="14" customWidth="1"/>
    <col min="16121" max="16121" width="35.3365384615385" customWidth="1"/>
    <col min="16122" max="16122" width="20.1634615384615" customWidth="1"/>
    <col min="16123" max="16123" width="24.6634615384615" customWidth="1"/>
    <col min="16124" max="16124" width="20.5" customWidth="1"/>
  </cols>
  <sheetData>
    <row r="1" ht="31.5" customHeight="1" spans="1:7">
      <c r="A1" s="8"/>
      <c r="B1" s="8"/>
      <c r="C1" s="8"/>
      <c r="D1" s="9"/>
      <c r="E1" s="8"/>
      <c r="F1" s="8"/>
      <c r="G1" s="20"/>
    </row>
    <row r="2" ht="20" spans="1:7">
      <c r="A2" s="10" t="s">
        <v>0</v>
      </c>
      <c r="B2" s="8" t="s">
        <v>3</v>
      </c>
      <c r="C2" s="8" t="s">
        <v>43</v>
      </c>
      <c r="D2" s="9" t="s">
        <v>44</v>
      </c>
      <c r="E2" s="8" t="s">
        <v>6</v>
      </c>
      <c r="F2" s="21" t="s">
        <v>8</v>
      </c>
      <c r="G2" s="20" t="s">
        <v>9</v>
      </c>
    </row>
    <row r="3" s="1" customFormat="1" spans="1:9">
      <c r="A3" s="11" t="s">
        <v>45</v>
      </c>
      <c r="B3" s="12" t="s">
        <v>46</v>
      </c>
      <c r="C3" s="13">
        <v>1037645</v>
      </c>
      <c r="D3" s="13">
        <v>112065.66</v>
      </c>
      <c r="E3" s="13">
        <v>1149710.66</v>
      </c>
      <c r="F3" s="22" t="s">
        <v>47</v>
      </c>
      <c r="G3" s="12">
        <v>22</v>
      </c>
      <c r="H3" s="23"/>
      <c r="I3" s="23"/>
    </row>
    <row r="4" s="2" customFormat="1" spans="1:9">
      <c r="A4" s="14" t="s">
        <v>45</v>
      </c>
      <c r="B4" s="15" t="s">
        <v>46</v>
      </c>
      <c r="C4" s="16">
        <v>1037645</v>
      </c>
      <c r="D4" s="16">
        <v>112065.66</v>
      </c>
      <c r="E4" s="16">
        <v>1149710.66</v>
      </c>
      <c r="F4" s="24" t="s">
        <v>48</v>
      </c>
      <c r="G4" s="15">
        <v>23</v>
      </c>
      <c r="H4" s="25"/>
      <c r="I4" s="25"/>
    </row>
    <row r="5" s="1" customFormat="1" spans="1:9">
      <c r="A5" s="11" t="s">
        <v>49</v>
      </c>
      <c r="B5" s="12" t="s">
        <v>46</v>
      </c>
      <c r="C5" s="13">
        <v>1214537.5</v>
      </c>
      <c r="D5" s="13">
        <v>73843.88</v>
      </c>
      <c r="E5" s="13">
        <v>1288381.38</v>
      </c>
      <c r="F5" s="22" t="s">
        <v>48</v>
      </c>
      <c r="G5" s="12">
        <v>22</v>
      </c>
      <c r="H5" s="23"/>
      <c r="I5" s="23"/>
    </row>
    <row r="6" s="2" customFormat="1" spans="1:9">
      <c r="A6" s="14" t="s">
        <v>49</v>
      </c>
      <c r="B6" s="15" t="s">
        <v>46</v>
      </c>
      <c r="C6" s="16">
        <v>1214537.5</v>
      </c>
      <c r="D6" s="16">
        <v>73843.88</v>
      </c>
      <c r="E6" s="16">
        <v>1288381.38</v>
      </c>
      <c r="F6" s="24" t="s">
        <v>48</v>
      </c>
      <c r="G6" s="15">
        <v>23</v>
      </c>
      <c r="H6" s="25"/>
      <c r="I6" s="25"/>
    </row>
    <row r="7" s="1" customFormat="1" spans="1:9">
      <c r="A7" s="11" t="s">
        <v>50</v>
      </c>
      <c r="B7" s="12" t="s">
        <v>46</v>
      </c>
      <c r="C7" s="13">
        <v>694082.5</v>
      </c>
      <c r="D7" s="13">
        <v>74960.91</v>
      </c>
      <c r="E7" s="13">
        <v>769043.41</v>
      </c>
      <c r="F7" s="22" t="s">
        <v>51</v>
      </c>
      <c r="G7" s="12">
        <v>22</v>
      </c>
      <c r="H7" s="23"/>
      <c r="I7" s="23"/>
    </row>
    <row r="8" s="2" customFormat="1" spans="1:9">
      <c r="A8" s="14" t="s">
        <v>50</v>
      </c>
      <c r="B8" s="15" t="s">
        <v>46</v>
      </c>
      <c r="C8" s="16">
        <v>694082.5</v>
      </c>
      <c r="D8" s="16">
        <v>74960.91</v>
      </c>
      <c r="E8" s="16">
        <v>769043.41</v>
      </c>
      <c r="F8" s="24" t="s">
        <v>51</v>
      </c>
      <c r="G8" s="15">
        <v>23</v>
      </c>
      <c r="H8" s="25"/>
      <c r="I8" s="25"/>
    </row>
    <row r="9" s="1" customFormat="1" spans="1:9">
      <c r="A9" s="11" t="s">
        <v>52</v>
      </c>
      <c r="B9" s="12" t="s">
        <v>46</v>
      </c>
      <c r="C9" s="13">
        <v>902750</v>
      </c>
      <c r="D9" s="13">
        <v>97497</v>
      </c>
      <c r="E9" s="13">
        <v>1000247</v>
      </c>
      <c r="F9" s="22" t="s">
        <v>53</v>
      </c>
      <c r="G9" s="12">
        <v>22</v>
      </c>
      <c r="H9" s="23"/>
      <c r="I9" s="23"/>
    </row>
    <row r="10" s="2" customFormat="1" spans="1:9">
      <c r="A10" s="14" t="s">
        <v>52</v>
      </c>
      <c r="B10" s="15" t="s">
        <v>46</v>
      </c>
      <c r="C10" s="16">
        <v>902750</v>
      </c>
      <c r="D10" s="16">
        <v>97497</v>
      </c>
      <c r="E10" s="16">
        <v>1000247</v>
      </c>
      <c r="F10" s="24" t="s">
        <v>53</v>
      </c>
      <c r="G10" s="15">
        <v>23</v>
      </c>
      <c r="H10" s="25"/>
      <c r="I10" s="25"/>
    </row>
    <row r="11" s="1" customFormat="1" spans="1:9">
      <c r="A11" s="11" t="s">
        <v>54</v>
      </c>
      <c r="B11" s="12" t="s">
        <v>46</v>
      </c>
      <c r="C11" s="13">
        <v>800000</v>
      </c>
      <c r="D11" s="13">
        <v>86940</v>
      </c>
      <c r="E11" s="13">
        <v>886940</v>
      </c>
      <c r="F11" s="22" t="s">
        <v>55</v>
      </c>
      <c r="G11" s="12">
        <v>21</v>
      </c>
      <c r="H11" s="23"/>
      <c r="I11" s="23"/>
    </row>
    <row r="12" s="2" customFormat="1" spans="1:9">
      <c r="A12" s="14" t="s">
        <v>54</v>
      </c>
      <c r="B12" s="15" t="s">
        <v>46</v>
      </c>
      <c r="C12" s="16">
        <v>800000</v>
      </c>
      <c r="D12" s="16">
        <v>86940</v>
      </c>
      <c r="E12" s="16">
        <v>886940</v>
      </c>
      <c r="F12" s="24" t="s">
        <v>55</v>
      </c>
      <c r="G12" s="15">
        <v>22</v>
      </c>
      <c r="H12" s="25"/>
      <c r="I12" s="25"/>
    </row>
    <row r="13" s="1" customFormat="1" spans="1:9">
      <c r="A13" s="11" t="s">
        <v>56</v>
      </c>
      <c r="B13" s="12" t="s">
        <v>46</v>
      </c>
      <c r="C13" s="13">
        <v>302857.14</v>
      </c>
      <c r="D13" s="13">
        <v>32913</v>
      </c>
      <c r="E13" s="13">
        <v>335770.14</v>
      </c>
      <c r="F13" s="22" t="s">
        <v>57</v>
      </c>
      <c r="G13" s="12">
        <v>21</v>
      </c>
      <c r="H13" s="23"/>
      <c r="I13" s="23"/>
    </row>
    <row r="14" s="2" customFormat="1" spans="1:9">
      <c r="A14" s="14" t="s">
        <v>56</v>
      </c>
      <c r="B14" s="15" t="s">
        <v>46</v>
      </c>
      <c r="C14" s="16">
        <v>302857.14</v>
      </c>
      <c r="D14" s="16">
        <v>32913</v>
      </c>
      <c r="E14" s="16">
        <v>335770.14</v>
      </c>
      <c r="F14" s="24" t="s">
        <v>57</v>
      </c>
      <c r="G14" s="15">
        <v>22</v>
      </c>
      <c r="H14" s="25"/>
      <c r="I14" s="25"/>
    </row>
    <row r="15" s="1" customFormat="1" spans="1:9">
      <c r="A15" s="11" t="s">
        <v>58</v>
      </c>
      <c r="B15" s="12" t="s">
        <v>46</v>
      </c>
      <c r="C15" s="13">
        <v>1078746.82</v>
      </c>
      <c r="D15" s="13">
        <v>117828.37</v>
      </c>
      <c r="E15" s="13">
        <v>1196575.19</v>
      </c>
      <c r="F15" s="22" t="s">
        <v>59</v>
      </c>
      <c r="G15" s="12">
        <v>21</v>
      </c>
      <c r="H15" s="23"/>
      <c r="I15" s="23"/>
    </row>
    <row r="16" s="2" customFormat="1" spans="1:9">
      <c r="A16" s="14" t="s">
        <v>58</v>
      </c>
      <c r="B16" s="15" t="s">
        <v>46</v>
      </c>
      <c r="C16" s="16">
        <v>1085758.67</v>
      </c>
      <c r="D16" s="16">
        <v>110816.52</v>
      </c>
      <c r="E16" s="16">
        <v>1196575.19</v>
      </c>
      <c r="F16" s="24" t="s">
        <v>59</v>
      </c>
      <c r="G16" s="15">
        <v>22</v>
      </c>
      <c r="H16" s="25"/>
      <c r="I16" s="25"/>
    </row>
    <row r="17" s="1" customFormat="1" spans="1:9">
      <c r="A17" s="11" t="s">
        <v>60</v>
      </c>
      <c r="B17" s="12" t="s">
        <v>46</v>
      </c>
      <c r="C17" s="13">
        <v>343540.28</v>
      </c>
      <c r="D17" s="13">
        <v>37523.9</v>
      </c>
      <c r="E17" s="13">
        <v>381064.18</v>
      </c>
      <c r="F17" s="22" t="s">
        <v>61</v>
      </c>
      <c r="G17" s="12">
        <v>21</v>
      </c>
      <c r="H17" s="23"/>
      <c r="I17" s="23"/>
    </row>
    <row r="18" s="2" customFormat="1" spans="1:9">
      <c r="A18" s="14" t="s">
        <v>60</v>
      </c>
      <c r="B18" s="15" t="s">
        <v>46</v>
      </c>
      <c r="C18" s="16">
        <v>345773.29</v>
      </c>
      <c r="D18" s="16">
        <v>35290.89</v>
      </c>
      <c r="E18" s="16">
        <v>381064.18</v>
      </c>
      <c r="F18" s="24" t="s">
        <v>61</v>
      </c>
      <c r="G18" s="15">
        <v>22</v>
      </c>
      <c r="H18" s="25"/>
      <c r="I18" s="25"/>
    </row>
    <row r="19" s="1" customFormat="1" spans="1:9">
      <c r="A19" s="17" t="s">
        <v>62</v>
      </c>
      <c r="B19" s="18" t="s">
        <v>46</v>
      </c>
      <c r="C19" s="19">
        <v>341426.13</v>
      </c>
      <c r="D19" s="19">
        <v>37292.98</v>
      </c>
      <c r="E19" s="19">
        <v>378719.11</v>
      </c>
      <c r="F19" s="22" t="s">
        <v>63</v>
      </c>
      <c r="G19" s="18">
        <v>21</v>
      </c>
      <c r="H19" s="23"/>
      <c r="I19" s="23"/>
    </row>
    <row r="20" s="2" customFormat="1" spans="1:9">
      <c r="A20" s="14" t="s">
        <v>62</v>
      </c>
      <c r="B20" s="15" t="s">
        <v>46</v>
      </c>
      <c r="C20" s="16">
        <v>343645.4</v>
      </c>
      <c r="D20" s="16">
        <v>35073.71</v>
      </c>
      <c r="E20" s="16">
        <v>378719.11</v>
      </c>
      <c r="F20" s="24" t="s">
        <v>63</v>
      </c>
      <c r="G20" s="15">
        <v>22</v>
      </c>
      <c r="H20" s="25"/>
      <c r="I20" s="25"/>
    </row>
    <row r="21" s="3" customFormat="1" spans="1:9">
      <c r="A21" s="17" t="s">
        <v>64</v>
      </c>
      <c r="B21" s="18" t="s">
        <v>46</v>
      </c>
      <c r="C21" s="19">
        <v>321263.98</v>
      </c>
      <c r="D21" s="19">
        <v>35090.73</v>
      </c>
      <c r="E21" s="19">
        <v>356354.71</v>
      </c>
      <c r="F21" s="22" t="s">
        <v>65</v>
      </c>
      <c r="G21" s="18">
        <v>21</v>
      </c>
      <c r="H21" s="26"/>
      <c r="I21" s="23"/>
    </row>
    <row r="22" s="2" customFormat="1" spans="1:9">
      <c r="A22" s="14" t="s">
        <v>64</v>
      </c>
      <c r="B22" s="15" t="s">
        <v>46</v>
      </c>
      <c r="C22" s="16">
        <v>323352.2</v>
      </c>
      <c r="D22" s="16">
        <v>33002.51</v>
      </c>
      <c r="E22" s="16">
        <v>356354.71</v>
      </c>
      <c r="F22" s="24" t="s">
        <v>65</v>
      </c>
      <c r="G22" s="15">
        <v>22</v>
      </c>
      <c r="H22" s="25"/>
      <c r="I22" s="25"/>
    </row>
    <row r="23" s="3" customFormat="1" spans="1:9">
      <c r="A23" s="17" t="s">
        <v>66</v>
      </c>
      <c r="B23" s="18" t="s">
        <v>46</v>
      </c>
      <c r="C23" s="19">
        <v>341237.96</v>
      </c>
      <c r="D23" s="19">
        <v>37272.43</v>
      </c>
      <c r="E23" s="19">
        <v>378510.39</v>
      </c>
      <c r="F23" s="22" t="s">
        <v>67</v>
      </c>
      <c r="G23" s="18">
        <v>21</v>
      </c>
      <c r="H23" s="26"/>
      <c r="I23" s="23"/>
    </row>
    <row r="24" s="3" customFormat="1" spans="1:9">
      <c r="A24" s="17" t="s">
        <v>68</v>
      </c>
      <c r="B24" s="18" t="s">
        <v>46</v>
      </c>
      <c r="C24" s="19">
        <v>673639.59</v>
      </c>
      <c r="D24" s="19">
        <v>78436.61</v>
      </c>
      <c r="E24" s="19">
        <v>752076.2</v>
      </c>
      <c r="F24" s="22" t="s">
        <v>69</v>
      </c>
      <c r="G24" s="18">
        <v>20</v>
      </c>
      <c r="H24" s="26"/>
      <c r="I24" s="23"/>
    </row>
    <row r="25" s="3" customFormat="1" spans="1:9">
      <c r="A25" s="17" t="s">
        <v>70</v>
      </c>
      <c r="B25" s="18" t="s">
        <v>46</v>
      </c>
      <c r="C25" s="19">
        <v>784367.5</v>
      </c>
      <c r="D25" s="19">
        <v>91329.45</v>
      </c>
      <c r="E25" s="19">
        <v>875696.95</v>
      </c>
      <c r="F25" s="22" t="s">
        <v>71</v>
      </c>
      <c r="G25" s="18">
        <v>20</v>
      </c>
      <c r="H25" s="26"/>
      <c r="I25" s="23"/>
    </row>
    <row r="26" s="3" customFormat="1" spans="1:9">
      <c r="A26" s="17" t="s">
        <v>72</v>
      </c>
      <c r="B26" s="18" t="s">
        <v>46</v>
      </c>
      <c r="C26" s="19">
        <v>153414.93</v>
      </c>
      <c r="D26" s="19">
        <v>17863.18</v>
      </c>
      <c r="E26" s="19">
        <v>171278.11</v>
      </c>
      <c r="F26" s="22" t="s">
        <v>73</v>
      </c>
      <c r="G26" s="18">
        <v>20</v>
      </c>
      <c r="H26" s="26"/>
      <c r="I26" s="23"/>
    </row>
    <row r="27" s="3" customFormat="1" spans="1:9">
      <c r="A27" s="17" t="s">
        <v>74</v>
      </c>
      <c r="B27" s="18" t="s">
        <v>46</v>
      </c>
      <c r="C27" s="19">
        <v>333291.56</v>
      </c>
      <c r="D27" s="19">
        <v>38807.5</v>
      </c>
      <c r="E27" s="19">
        <v>372099.06</v>
      </c>
      <c r="F27" s="22" t="s">
        <v>75</v>
      </c>
      <c r="G27" s="18">
        <v>20</v>
      </c>
      <c r="H27" s="26"/>
      <c r="I27" s="23"/>
    </row>
    <row r="28" s="3" customFormat="1" spans="1:9">
      <c r="A28" s="17" t="s">
        <v>76</v>
      </c>
      <c r="B28" s="18" t="s">
        <v>46</v>
      </c>
      <c r="C28" s="19">
        <v>328833.32</v>
      </c>
      <c r="D28" s="19">
        <v>40674.67</v>
      </c>
      <c r="E28" s="19">
        <v>369507.99</v>
      </c>
      <c r="F28" s="22" t="s">
        <v>77</v>
      </c>
      <c r="G28" s="18">
        <v>19</v>
      </c>
      <c r="H28" s="26"/>
      <c r="I28" s="23"/>
    </row>
    <row r="29" s="3" customFormat="1" spans="1:9">
      <c r="A29" s="17" t="s">
        <v>78</v>
      </c>
      <c r="B29" s="18" t="s">
        <v>46</v>
      </c>
      <c r="C29" s="19">
        <v>581242.53</v>
      </c>
      <c r="D29" s="19">
        <v>76141.56</v>
      </c>
      <c r="E29" s="19">
        <v>657384.09</v>
      </c>
      <c r="F29" s="22" t="s">
        <v>79</v>
      </c>
      <c r="G29" s="18">
        <v>18</v>
      </c>
      <c r="H29" s="26"/>
      <c r="I29" s="23"/>
    </row>
    <row r="30" s="3" customFormat="1" spans="1:9">
      <c r="A30" s="17" t="s">
        <v>80</v>
      </c>
      <c r="B30" s="18" t="s">
        <v>46</v>
      </c>
      <c r="C30" s="19">
        <v>634004.57</v>
      </c>
      <c r="D30" s="19">
        <v>87714.16</v>
      </c>
      <c r="E30" s="19">
        <v>721718.73</v>
      </c>
      <c r="F30" s="22" t="s">
        <v>81</v>
      </c>
      <c r="G30" s="18">
        <v>17</v>
      </c>
      <c r="H30" s="26"/>
      <c r="I30" s="23"/>
    </row>
    <row r="31" s="3" customFormat="1" spans="1:9">
      <c r="A31" s="17" t="s">
        <v>82</v>
      </c>
      <c r="B31" s="18" t="s">
        <v>46</v>
      </c>
      <c r="C31" s="19">
        <v>627609.72</v>
      </c>
      <c r="D31" s="19">
        <v>86829.43</v>
      </c>
      <c r="E31" s="19">
        <v>714439.15</v>
      </c>
      <c r="F31" s="22" t="s">
        <v>83</v>
      </c>
      <c r="G31" s="18">
        <v>17</v>
      </c>
      <c r="H31" s="26"/>
      <c r="I31" s="23"/>
    </row>
    <row r="32" s="3" customFormat="1" spans="1:9">
      <c r="A32" s="17" t="s">
        <v>84</v>
      </c>
      <c r="B32" s="18" t="s">
        <v>46</v>
      </c>
      <c r="C32" s="19">
        <v>870629.54</v>
      </c>
      <c r="D32" s="19">
        <v>146471.51</v>
      </c>
      <c r="E32" s="19">
        <v>1017101.05</v>
      </c>
      <c r="F32" s="22" t="s">
        <v>85</v>
      </c>
      <c r="G32" s="18">
        <v>13</v>
      </c>
      <c r="H32" s="26"/>
      <c r="I32" s="23"/>
    </row>
    <row r="33" s="3" customFormat="1" spans="1:9">
      <c r="A33" s="17" t="s">
        <v>86</v>
      </c>
      <c r="B33" s="18" t="s">
        <v>46</v>
      </c>
      <c r="C33" s="19">
        <v>333575.66</v>
      </c>
      <c r="D33" s="19">
        <v>56119.54</v>
      </c>
      <c r="E33" s="19">
        <v>389695.2</v>
      </c>
      <c r="F33" s="22" t="s">
        <v>87</v>
      </c>
      <c r="G33" s="18">
        <v>13</v>
      </c>
      <c r="H33" s="26"/>
      <c r="I33" s="23"/>
    </row>
    <row r="34" s="3" customFormat="1" spans="1:9">
      <c r="A34" s="17" t="s">
        <v>88</v>
      </c>
      <c r="B34" s="18" t="s">
        <v>46</v>
      </c>
      <c r="C34" s="19">
        <v>554717.05</v>
      </c>
      <c r="D34" s="19">
        <v>93323.55</v>
      </c>
      <c r="E34" s="19">
        <v>648040.6</v>
      </c>
      <c r="F34" s="22" t="s">
        <v>89</v>
      </c>
      <c r="G34" s="18">
        <v>13</v>
      </c>
      <c r="H34" s="26"/>
      <c r="I34" s="23"/>
    </row>
    <row r="35" s="3" customFormat="1" spans="1:9">
      <c r="A35" s="17" t="s">
        <v>90</v>
      </c>
      <c r="B35" s="18" t="s">
        <v>46</v>
      </c>
      <c r="C35" s="19">
        <v>417481.19</v>
      </c>
      <c r="D35" s="19">
        <v>70235.5</v>
      </c>
      <c r="E35" s="19">
        <v>487716.69</v>
      </c>
      <c r="F35" s="22" t="s">
        <v>91</v>
      </c>
      <c r="G35" s="18">
        <v>13</v>
      </c>
      <c r="H35" s="26"/>
      <c r="I35" s="23"/>
    </row>
    <row r="36" s="3" customFormat="1" spans="1:9">
      <c r="A36" s="17" t="s">
        <v>92</v>
      </c>
      <c r="B36" s="18" t="s">
        <v>46</v>
      </c>
      <c r="C36" s="19">
        <v>193624.03</v>
      </c>
      <c r="D36" s="19">
        <v>35524.73</v>
      </c>
      <c r="E36" s="19">
        <v>229148.76</v>
      </c>
      <c r="F36" s="22" t="s">
        <v>93</v>
      </c>
      <c r="G36" s="18">
        <v>11</v>
      </c>
      <c r="H36" s="26"/>
      <c r="I36" s="23"/>
    </row>
    <row r="37" s="3" customFormat="1" spans="1:8">
      <c r="A37" s="4"/>
      <c r="B37" s="5"/>
      <c r="C37" s="5"/>
      <c r="D37" s="6"/>
      <c r="E37" s="5"/>
      <c r="F37" s="7"/>
      <c r="G37" s="5"/>
      <c r="H37" s="26"/>
    </row>
  </sheetData>
  <autoFilter ref="A2:I36">
    <sortState ref="A2:I36">
      <sortCondition ref="F2:F32"/>
    </sortState>
    <extLst/>
  </autoFilter>
  <pageMargins left="0.25" right="0.25" top="0.75" bottom="0.75" header="0.3" footer="0.3"/>
  <pageSetup paperSize="9" scale="5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收据汇总表</vt:lpstr>
      <vt:lpstr>新疆博海水泥有限公司</vt:lpstr>
      <vt:lpstr>打印资料汇总表202012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mockorz</cp:lastModifiedBy>
  <dcterms:created xsi:type="dcterms:W3CDTF">2006-09-15T11:21:00Z</dcterms:created>
  <cp:lastPrinted>2022-03-09T10:31:00Z</cp:lastPrinted>
  <dcterms:modified xsi:type="dcterms:W3CDTF">2024-08-07T14:56:11Z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D377E6C4C959B5D171F97366FC972AED_43</vt:lpwstr>
  </property>
</Properties>
</file>